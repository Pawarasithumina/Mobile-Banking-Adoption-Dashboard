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40.xml" ContentType="application/vnd.ms-office.chartcolorstyle+xml"/>
  <Override PartName="/xl/charts/style4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D:\Users\Admin\Desktop\datasets\"/>
    </mc:Choice>
  </mc:AlternateContent>
  <xr:revisionPtr revIDLastSave="0" documentId="13_ncr:1_{66621A86-19AE-48FA-A2AD-308E86AB7AF3}" xr6:coauthVersionLast="36" xr6:coauthVersionMax="36" xr10:uidLastSave="{00000000-0000-0000-0000-000000000000}"/>
  <bookViews>
    <workbookView xWindow="0" yWindow="0" windowWidth="19200" windowHeight="7520" activeTab="3" xr2:uid="{00000000-000D-0000-FFFF-FFFF00000000}"/>
  </bookViews>
  <sheets>
    <sheet name="Mobile Banking Adoption" sheetId="1" r:id="rId1"/>
    <sheet name="Working sheet" sheetId="2" r:id="rId2"/>
    <sheet name="Pivot Tables" sheetId="3" r:id="rId3"/>
    <sheet name="Dashboard" sheetId="4" r:id="rId4"/>
  </sheets>
  <definedNames>
    <definedName name="_xlnm._FilterDatabase" localSheetId="0" hidden="1">'Mobile Banking Adoption'!$A$1:$L$276</definedName>
    <definedName name="_xlnm._FilterDatabase" localSheetId="1" hidden="1">'Working sheet'!$A$1:$M$276</definedName>
    <definedName name="Slicer_App_Usability__Very_Low_Very_High">#N/A</definedName>
    <definedName name="Slicer_Awareness_Level__Very_Low_Very_High">#N/A</definedName>
    <definedName name="Slicer_Education_Level">#N/A</definedName>
    <definedName name="Slicer_Gender">#N/A</definedName>
    <definedName name="Slicer_Privacy_Concern__Very_Low_Very_High">#N/A</definedName>
    <definedName name="Slicer_Trust_Level__Very_Low_Very_High">#N/A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76" i="2" l="1"/>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<sst xmlns="http://schemas.openxmlformats.org/spreadsheetml/2006/main" count="5061" uniqueCount="61">
  <si>
    <t>Age</t>
  </si>
  <si>
    <t>Gender</t>
  </si>
  <si>
    <t>Education Level</t>
  </si>
  <si>
    <t>Income Level</t>
  </si>
  <si>
    <t>District</t>
  </si>
  <si>
    <t>Device Type</t>
  </si>
  <si>
    <t>Bank Type</t>
  </si>
  <si>
    <t>Trust Level (1-5)</t>
  </si>
  <si>
    <t>Privacy Concern (1-5)</t>
  </si>
  <si>
    <t>App Usability (1-5)</t>
  </si>
  <si>
    <t>Awareness Level (1-5)</t>
  </si>
  <si>
    <t>Uses Mobile Banking?</t>
  </si>
  <si>
    <t>Female</t>
  </si>
  <si>
    <t>Male</t>
  </si>
  <si>
    <t>Bachelor</t>
  </si>
  <si>
    <t>Diploma</t>
  </si>
  <si>
    <t>Master</t>
  </si>
  <si>
    <t>High School</t>
  </si>
  <si>
    <t>High</t>
  </si>
  <si>
    <t>Medium</t>
  </si>
  <si>
    <t>Low</t>
  </si>
  <si>
    <t>Badulla</t>
  </si>
  <si>
    <t>Colombo</t>
  </si>
  <si>
    <t>Jaffna</t>
  </si>
  <si>
    <t>Galle</t>
  </si>
  <si>
    <t>Matara</t>
  </si>
  <si>
    <t>Ratnapura</t>
  </si>
  <si>
    <t>Trincomalee</t>
  </si>
  <si>
    <t>Anuradhapura</t>
  </si>
  <si>
    <t>Kurunegala</t>
  </si>
  <si>
    <t>Gampaha</t>
  </si>
  <si>
    <t>Hambantota</t>
  </si>
  <si>
    <t>Kandy</t>
  </si>
  <si>
    <t>Smartphone</t>
  </si>
  <si>
    <t>Feature Phone</t>
  </si>
  <si>
    <t>No Phone</t>
  </si>
  <si>
    <t>None</t>
  </si>
  <si>
    <t>Government Bank</t>
  </si>
  <si>
    <t>Private Bank</t>
  </si>
  <si>
    <t>No</t>
  </si>
  <si>
    <t>Yes</t>
  </si>
  <si>
    <t>Age_Group</t>
  </si>
  <si>
    <t>Very Low</t>
  </si>
  <si>
    <t>Mid</t>
  </si>
  <si>
    <t>Trust Level (Very Low-Very High)</t>
  </si>
  <si>
    <t>Very High</t>
  </si>
  <si>
    <t>Privacy Concern (Very Low-Very High)</t>
  </si>
  <si>
    <t>App Usability (Very Low-Very High)</t>
  </si>
  <si>
    <t>Awareness Level (Very Low-Very High)</t>
  </si>
  <si>
    <t>Row Labels</t>
  </si>
  <si>
    <t>Adults</t>
  </si>
  <si>
    <t>Seniors</t>
  </si>
  <si>
    <t>Young</t>
  </si>
  <si>
    <t>Young Adults</t>
  </si>
  <si>
    <t>Grand Total</t>
  </si>
  <si>
    <t>Column Labels</t>
  </si>
  <si>
    <t>Count of Uses Mobile Banking?</t>
  </si>
  <si>
    <t>Count of Bank Type</t>
  </si>
  <si>
    <t>Count of Device Type</t>
  </si>
  <si>
    <t>Count of District</t>
  </si>
  <si>
    <t>Mobile Banking Adoption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</si>
</sst>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28"/>
      <color theme="1"/>
      <name val="Arial Black"/>
      <family val="2"/>
    </font>
    <font>
      <sz val="28"/>
      <color theme="1"/>
      <name val="Arial Black"/>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rgb="FFDCE6F1"/>
        <bgColor rgb="FFDCE6F1"/>
      </patternFill>
    </fill>
    <fill>
      <patternFill patternType="solid">
        <fgColor theme="0" tint="-0.49998474074526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bottom style="thin">
        <color rgb="FF95B3D7"/>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1" fillId="2" borderId="2" xfId="0" applyFont="1" applyFill="1" applyBorder="1"/>
    <xf numFmtId="0" fontId="0" fillId="0" borderId="0" xfId="0" applyNumberFormat="1"/>
    <xf numFmtId="0" fontId="2" fillId="3" borderId="3" xfId="0" applyFont="1" applyFill="1" applyBorder="1"/>
    <xf numFmtId="0" fontId="3" fillId="0" borderId="0" xfId="0" applyFont="1" applyAlignment="1">
      <alignment horizontal="left"/>
    </xf>
    <xf numFmtId="0" fontId="0" fillId="4" borderId="0" xfId="0" applyFill="1"/>
    <xf numFmtId="0" fontId="0" fillId="4" borderId="0" xfId="0" applyFill="1" applyAlignment="1"/>
    <xf numFmtId="0" fontId="4" fillId="4" borderId="0" xfId="0" applyFont="1" applyFill="1" applyAlignment="1"/>
    <xf numFmtId="0" fontId="5" fillId="4"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Group Among Mobile Banking Uses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Tables'!$A$5:$A$9</c:f>
              <c:strCache>
                <c:ptCount val="4"/>
                <c:pt idx="0">
                  <c:v>Adults</c:v>
                </c:pt>
                <c:pt idx="1">
                  <c:v>Seniors</c:v>
                </c:pt>
                <c:pt idx="2">
                  <c:v>Young</c:v>
                </c:pt>
                <c:pt idx="3">
                  <c:v>Young Adults</c:v>
                </c:pt>
              </c:strCache>
            </c:strRef>
          </c:cat>
          <c:val>
            <c:numRef>
              <c:f>'Pivot Tables'!$B$5:$B$9</c:f>
              <c:numCache>
                <c:formatCode>General</c:formatCode>
                <c:ptCount val="4"/>
                <c:pt idx="0">
                  <c:v>64</c:v>
                </c:pt>
                <c:pt idx="1">
                  <c:v>17</c:v>
                </c:pt>
                <c:pt idx="2">
                  <c:v>20</c:v>
                </c:pt>
                <c:pt idx="3">
                  <c:v>77</c:v>
                </c:pt>
              </c:numCache>
            </c:numRef>
          </c:val>
          <c:extLst>
            <c:ext xmlns:c16="http://schemas.microsoft.com/office/drawing/2014/chart" uri="{C3380CC4-5D6E-409C-BE32-E72D297353CC}">
              <c16:uniqueId val="{00000000-3DBA-45A2-A93B-466702A24B60}"/>
            </c:ext>
          </c:extLst>
        </c:ser>
        <c:ser>
          <c:idx val="1"/>
          <c:order val="1"/>
          <c:tx>
            <c:strRef>
              <c:f>'Pivot Tables'!$C$3:$C$4</c:f>
              <c:strCache>
                <c:ptCount val="1"/>
                <c:pt idx="0">
                  <c:v>Yes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Tables'!$A$5:$A$9</c:f>
              <c:strCache>
                <c:ptCount val="4"/>
                <c:pt idx="0">
                  <c:v>Adults</c:v>
                </c:pt>
                <c:pt idx="1">
                  <c:v>Seniors</c:v>
                </c:pt>
                <c:pt idx="2">
                  <c:v>Young</c:v>
                </c:pt>
                <c:pt idx="3">
                  <c:v>Young Adults</c:v>
                </c:pt>
              </c:strCache>
            </c:strRef>
          </c:cat>
          <c:val>
            <c:numRef>
              <c:f>'Pivot Tables'!$C$5:$C$9</c:f>
              <c:numCache>
                <c:formatCode>General</c:formatCode>
                <c:ptCount val="4"/>
                <c:pt idx="0">
                  <c:v>26</c:v>
                </c:pt>
                <c:pt idx="1">
                  <c:v>10</c:v>
                </c:pt>
                <c:pt idx="2">
                  <c:v>9</c:v>
                </c:pt>
                <c:pt idx="3">
                  <c:v>52</c:v>
                </c:pt>
              </c:numCache>
            </c:numRef>
          </c:val>
          <c:extLst>
            <c:ext xmlns:c16="http://schemas.microsoft.com/office/drawing/2014/chart" uri="{C3380CC4-5D6E-409C-BE32-E72D297353CC}">
              <c16:uniqueId val="{00000001-7A85-4F34-AB1E-9C3B61A9E0EB}"/>
            </c:ext>
          </c:extLst>
        </c:ser>
        <c:dLbls>
          <c:dLblPos val="outEnd"/>
          <c:showLegendKey val="0"/>
          <c:showVal val="1"/>
          <c:showCatName val="0"/>
          <c:showSerName val="0"/>
          <c:showPercent val="0"/>
          <c:showBubbleSize val="0"/>
        </c:dLbls>
        <c:gapWidth val="315"/>
        <c:overlap val="-40"/>
        <c:axId val="583722288"/>
        <c:axId val="429036464"/>
      </c:barChart>
      <c:catAx>
        <c:axId val="583722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9036464"/>
        <c:crosses val="autoZero"/>
        <c:auto val="1"/>
        <c:lblAlgn val="ctr"/>
        <c:lblOffset val="100"/>
        <c:noMultiLvlLbl val="0"/>
      </c:catAx>
      <c:valAx>
        <c:axId val="429036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7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Dstrict</a:t>
            </a:r>
            <a:r>
              <a:rPr lang="en-US" baseline="0"/>
              <a:t> Among Bank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lineChart>
        <c:grouping val="stacked"/>
        <c:varyColors val="0"/>
        <c:ser>
          <c:idx val="0"/>
          <c:order val="0"/>
          <c:tx>
            <c:strRef>
              <c:f>'Pivot Tables'!$B$24:$B$25</c:f>
              <c:strCache>
                <c:ptCount val="1"/>
                <c:pt idx="0">
                  <c:v>Government Bank</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Tables'!$B$26:$B$38</c:f>
              <c:numCache>
                <c:formatCode>General</c:formatCode>
                <c:ptCount val="12"/>
                <c:pt idx="0">
                  <c:v>11</c:v>
                </c:pt>
                <c:pt idx="1">
                  <c:v>4</c:v>
                </c:pt>
                <c:pt idx="2">
                  <c:v>14</c:v>
                </c:pt>
                <c:pt idx="3">
                  <c:v>17</c:v>
                </c:pt>
                <c:pt idx="4">
                  <c:v>12</c:v>
                </c:pt>
                <c:pt idx="5">
                  <c:v>6</c:v>
                </c:pt>
                <c:pt idx="6">
                  <c:v>9</c:v>
                </c:pt>
                <c:pt idx="7">
                  <c:v>11</c:v>
                </c:pt>
                <c:pt idx="8">
                  <c:v>7</c:v>
                </c:pt>
                <c:pt idx="9">
                  <c:v>10</c:v>
                </c:pt>
                <c:pt idx="10">
                  <c:v>8</c:v>
                </c:pt>
                <c:pt idx="11">
                  <c:v>7</c:v>
                </c:pt>
              </c:numCache>
            </c:numRef>
          </c:val>
          <c:smooth val="0"/>
          <c:extLst>
            <c:ext xmlns:c16="http://schemas.microsoft.com/office/drawing/2014/chart" uri="{C3380CC4-5D6E-409C-BE32-E72D297353CC}">
              <c16:uniqueId val="{00000000-4B26-4979-8DC2-84D33FE3F9DA}"/>
            </c:ext>
          </c:extLst>
        </c:ser>
        <c:ser>
          <c:idx val="1"/>
          <c:order val="1"/>
          <c:tx>
            <c:strRef>
              <c:f>'Pivot Tables'!$C$24:$C$25</c:f>
              <c:strCache>
                <c:ptCount val="1"/>
                <c:pt idx="0">
                  <c:v>None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Tables'!$C$26:$C$38</c:f>
              <c:numCache>
                <c:formatCode>General</c:formatCode>
                <c:ptCount val="12"/>
                <c:pt idx="0">
                  <c:v>2</c:v>
                </c:pt>
                <c:pt idx="1">
                  <c:v>2</c:v>
                </c:pt>
                <c:pt idx="2">
                  <c:v>3</c:v>
                </c:pt>
                <c:pt idx="3">
                  <c:v>6</c:v>
                </c:pt>
                <c:pt idx="4">
                  <c:v>5</c:v>
                </c:pt>
                <c:pt idx="5">
                  <c:v>2</c:v>
                </c:pt>
                <c:pt idx="6">
                  <c:v>1</c:v>
                </c:pt>
                <c:pt idx="7">
                  <c:v>2</c:v>
                </c:pt>
                <c:pt idx="8">
                  <c:v>2</c:v>
                </c:pt>
                <c:pt idx="9">
                  <c:v>1</c:v>
                </c:pt>
                <c:pt idx="10">
                  <c:v>3</c:v>
                </c:pt>
              </c:numCache>
            </c:numRef>
          </c:val>
          <c:smooth val="0"/>
          <c:extLst>
            <c:ext xmlns:c16="http://schemas.microsoft.com/office/drawing/2014/chart" uri="{C3380CC4-5D6E-409C-BE32-E72D297353CC}">
              <c16:uniqueId val="{00000001-4B26-4979-8DC2-84D33FE3F9DA}"/>
            </c:ext>
          </c:extLst>
        </c:ser>
        <c:ser>
          <c:idx val="2"/>
          <c:order val="2"/>
          <c:tx>
            <c:strRef>
              <c:f>'Pivot Tables'!$D$24:$D$25</c:f>
              <c:strCache>
                <c:ptCount val="1"/>
                <c:pt idx="0">
                  <c:v>Private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Tables'!$D$26:$D$38</c:f>
              <c:numCache>
                <c:formatCode>General</c:formatCode>
                <c:ptCount val="12"/>
                <c:pt idx="0">
                  <c:v>8</c:v>
                </c:pt>
                <c:pt idx="1">
                  <c:v>4</c:v>
                </c:pt>
                <c:pt idx="2">
                  <c:v>26</c:v>
                </c:pt>
                <c:pt idx="3">
                  <c:v>15</c:v>
                </c:pt>
                <c:pt idx="4">
                  <c:v>21</c:v>
                </c:pt>
                <c:pt idx="5">
                  <c:v>5</c:v>
                </c:pt>
                <c:pt idx="6">
                  <c:v>7</c:v>
                </c:pt>
                <c:pt idx="7">
                  <c:v>19</c:v>
                </c:pt>
                <c:pt idx="8">
                  <c:v>8</c:v>
                </c:pt>
                <c:pt idx="9">
                  <c:v>6</c:v>
                </c:pt>
                <c:pt idx="10">
                  <c:v>2</c:v>
                </c:pt>
                <c:pt idx="11">
                  <c:v>9</c:v>
                </c:pt>
              </c:numCache>
            </c:numRef>
          </c:val>
          <c:smooth val="0"/>
          <c:extLst>
            <c:ext xmlns:c16="http://schemas.microsoft.com/office/drawing/2014/chart" uri="{C3380CC4-5D6E-409C-BE32-E72D297353CC}">
              <c16:uniqueId val="{00000002-4B26-4979-8DC2-84D33FE3F9DA}"/>
            </c:ext>
          </c:extLst>
        </c:ser>
        <c:dLbls>
          <c:showLegendKey val="0"/>
          <c:showVal val="0"/>
          <c:showCatName val="0"/>
          <c:showSerName val="0"/>
          <c:showPercent val="0"/>
          <c:showBubbleSize val="0"/>
        </c:dLbls>
        <c:marker val="1"/>
        <c:smooth val="0"/>
        <c:axId val="650077040"/>
        <c:axId val="655990448"/>
      </c:lineChart>
      <c:catAx>
        <c:axId val="6500770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District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5990448"/>
        <c:crosses val="autoZero"/>
        <c:auto val="1"/>
        <c:lblAlgn val="ctr"/>
        <c:lblOffset val="100"/>
        <c:noMultiLvlLbl val="0"/>
      </c:catAx>
      <c:valAx>
        <c:axId val="655990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007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 Level vs Device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Tables'!$B$50:$B$51</c:f>
              <c:strCache>
                <c:ptCount val="1"/>
                <c:pt idx="0">
                  <c:v>High</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Tables'!$B$52:$B$55</c:f>
              <c:numCache>
                <c:formatCode>General</c:formatCode>
                <c:ptCount val="3"/>
                <c:pt idx="0">
                  <c:v>15</c:v>
                </c:pt>
                <c:pt idx="1">
                  <c:v>5</c:v>
                </c:pt>
                <c:pt idx="2">
                  <c:v>49</c:v>
                </c:pt>
              </c:numCache>
            </c:numRef>
          </c:val>
          <c:extLst>
            <c:ext xmlns:c16="http://schemas.microsoft.com/office/drawing/2014/chart" uri="{C3380CC4-5D6E-409C-BE32-E72D297353CC}">
              <c16:uniqueId val="{00000000-3567-421E-863A-1445C756E237}"/>
            </c:ext>
          </c:extLst>
        </c:ser>
        <c:ser>
          <c:idx val="1"/>
          <c:order val="1"/>
          <c:tx>
            <c:strRef>
              <c:f>'Pivot Tables'!$C$50:$C$51</c:f>
              <c:strCache>
                <c:ptCount val="1"/>
                <c:pt idx="0">
                  <c:v>Low</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Tables'!$C$52:$C$55</c:f>
              <c:numCache>
                <c:formatCode>General</c:formatCode>
                <c:ptCount val="3"/>
                <c:pt idx="0">
                  <c:v>18</c:v>
                </c:pt>
                <c:pt idx="1">
                  <c:v>6</c:v>
                </c:pt>
                <c:pt idx="2">
                  <c:v>63</c:v>
                </c:pt>
              </c:numCache>
            </c:numRef>
          </c:val>
          <c:extLst>
            <c:ext xmlns:c16="http://schemas.microsoft.com/office/drawing/2014/chart" uri="{C3380CC4-5D6E-409C-BE32-E72D297353CC}">
              <c16:uniqueId val="{00000001-3567-421E-863A-1445C756E237}"/>
            </c:ext>
          </c:extLst>
        </c:ser>
        <c:ser>
          <c:idx val="2"/>
          <c:order val="2"/>
          <c:tx>
            <c:strRef>
              <c:f>'Pivot Tables'!$D$50:$D$51</c:f>
              <c:strCache>
                <c:ptCount val="1"/>
                <c:pt idx="0">
                  <c:v>Medium</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Tables'!$D$52:$D$55</c:f>
              <c:numCache>
                <c:formatCode>General</c:formatCode>
                <c:ptCount val="3"/>
                <c:pt idx="0">
                  <c:v>16</c:v>
                </c:pt>
                <c:pt idx="1">
                  <c:v>7</c:v>
                </c:pt>
                <c:pt idx="2">
                  <c:v>96</c:v>
                </c:pt>
              </c:numCache>
            </c:numRef>
          </c:val>
          <c:extLst>
            <c:ext xmlns:c16="http://schemas.microsoft.com/office/drawing/2014/chart" uri="{C3380CC4-5D6E-409C-BE32-E72D297353CC}">
              <c16:uniqueId val="{00000002-3567-421E-863A-1445C756E237}"/>
            </c:ext>
          </c:extLst>
        </c:ser>
        <c:dLbls>
          <c:dLblPos val="outEnd"/>
          <c:showLegendKey val="0"/>
          <c:showVal val="1"/>
          <c:showCatName val="0"/>
          <c:showSerName val="0"/>
          <c:showPercent val="0"/>
          <c:showBubbleSize val="0"/>
        </c:dLbls>
        <c:gapWidth val="315"/>
        <c:overlap val="-40"/>
        <c:axId val="979799680"/>
        <c:axId val="678959904"/>
      </c:barChart>
      <c:catAx>
        <c:axId val="979799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Device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8959904"/>
        <c:crosses val="autoZero"/>
        <c:auto val="1"/>
        <c:lblAlgn val="ctr"/>
        <c:lblOffset val="100"/>
        <c:noMultiLvlLbl val="0"/>
      </c:catAx>
      <c:valAx>
        <c:axId val="678959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97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Group Among Mobile Banking Uses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Tables'!$A$5:$A$9</c:f>
              <c:strCache>
                <c:ptCount val="4"/>
                <c:pt idx="0">
                  <c:v>Adults</c:v>
                </c:pt>
                <c:pt idx="1">
                  <c:v>Seniors</c:v>
                </c:pt>
                <c:pt idx="2">
                  <c:v>Young</c:v>
                </c:pt>
                <c:pt idx="3">
                  <c:v>Young Adults</c:v>
                </c:pt>
              </c:strCache>
            </c:strRef>
          </c:cat>
          <c:val>
            <c:numRef>
              <c:f>'Pivot Tables'!$B$5:$B$9</c:f>
              <c:numCache>
                <c:formatCode>General</c:formatCode>
                <c:ptCount val="4"/>
                <c:pt idx="0">
                  <c:v>64</c:v>
                </c:pt>
                <c:pt idx="1">
                  <c:v>17</c:v>
                </c:pt>
                <c:pt idx="2">
                  <c:v>20</c:v>
                </c:pt>
                <c:pt idx="3">
                  <c:v>77</c:v>
                </c:pt>
              </c:numCache>
            </c:numRef>
          </c:val>
          <c:extLst>
            <c:ext xmlns:c16="http://schemas.microsoft.com/office/drawing/2014/chart" uri="{C3380CC4-5D6E-409C-BE32-E72D297353CC}">
              <c16:uniqueId val="{00000000-D1C0-4942-8AE1-5216D0B36AB7}"/>
            </c:ext>
          </c:extLst>
        </c:ser>
        <c:ser>
          <c:idx val="1"/>
          <c:order val="1"/>
          <c:tx>
            <c:strRef>
              <c:f>'Pivot Tables'!$C$3:$C$4</c:f>
              <c:strCache>
                <c:ptCount val="1"/>
                <c:pt idx="0">
                  <c:v>Yes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Tables'!$A$5:$A$9</c:f>
              <c:strCache>
                <c:ptCount val="4"/>
                <c:pt idx="0">
                  <c:v>Adults</c:v>
                </c:pt>
                <c:pt idx="1">
                  <c:v>Seniors</c:v>
                </c:pt>
                <c:pt idx="2">
                  <c:v>Young</c:v>
                </c:pt>
                <c:pt idx="3">
                  <c:v>Young Adults</c:v>
                </c:pt>
              </c:strCache>
            </c:strRef>
          </c:cat>
          <c:val>
            <c:numRef>
              <c:f>'Pivot Tables'!$C$5:$C$9</c:f>
              <c:numCache>
                <c:formatCode>General</c:formatCode>
                <c:ptCount val="4"/>
                <c:pt idx="0">
                  <c:v>26</c:v>
                </c:pt>
                <c:pt idx="1">
                  <c:v>10</c:v>
                </c:pt>
                <c:pt idx="2">
                  <c:v>9</c:v>
                </c:pt>
                <c:pt idx="3">
                  <c:v>52</c:v>
                </c:pt>
              </c:numCache>
            </c:numRef>
          </c:val>
          <c:extLst>
            <c:ext xmlns:c16="http://schemas.microsoft.com/office/drawing/2014/chart" uri="{C3380CC4-5D6E-409C-BE32-E72D297353CC}">
              <c16:uniqueId val="{00000001-4B83-464A-B05E-B4B3B8625B8A}"/>
            </c:ext>
          </c:extLst>
        </c:ser>
        <c:dLbls>
          <c:dLblPos val="outEnd"/>
          <c:showLegendKey val="0"/>
          <c:showVal val="1"/>
          <c:showCatName val="0"/>
          <c:showSerName val="0"/>
          <c:showPercent val="0"/>
          <c:showBubbleSize val="0"/>
        </c:dLbls>
        <c:gapWidth val="315"/>
        <c:overlap val="-40"/>
        <c:axId val="583722288"/>
        <c:axId val="429036464"/>
      </c:barChart>
      <c:catAx>
        <c:axId val="583722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9036464"/>
        <c:crosses val="autoZero"/>
        <c:auto val="1"/>
        <c:lblAlgn val="ctr"/>
        <c:lblOffset val="100"/>
        <c:noMultiLvlLbl val="0"/>
      </c:catAx>
      <c:valAx>
        <c:axId val="429036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7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Dstrict</a:t>
            </a:r>
            <a:r>
              <a:rPr lang="en-US" baseline="0"/>
              <a:t> Among Bank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7"/>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lineChart>
        <c:grouping val="stacked"/>
        <c:varyColors val="0"/>
        <c:ser>
          <c:idx val="0"/>
          <c:order val="0"/>
          <c:tx>
            <c:strRef>
              <c:f>'Pivot Tables'!$B$24:$B$25</c:f>
              <c:strCache>
                <c:ptCount val="1"/>
                <c:pt idx="0">
                  <c:v>Government Bank</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Tables'!$B$26:$B$38</c:f>
              <c:numCache>
                <c:formatCode>General</c:formatCode>
                <c:ptCount val="12"/>
                <c:pt idx="0">
                  <c:v>11</c:v>
                </c:pt>
                <c:pt idx="1">
                  <c:v>4</c:v>
                </c:pt>
                <c:pt idx="2">
                  <c:v>14</c:v>
                </c:pt>
                <c:pt idx="3">
                  <c:v>17</c:v>
                </c:pt>
                <c:pt idx="4">
                  <c:v>12</c:v>
                </c:pt>
                <c:pt idx="5">
                  <c:v>6</c:v>
                </c:pt>
                <c:pt idx="6">
                  <c:v>9</c:v>
                </c:pt>
                <c:pt idx="7">
                  <c:v>11</c:v>
                </c:pt>
                <c:pt idx="8">
                  <c:v>7</c:v>
                </c:pt>
                <c:pt idx="9">
                  <c:v>10</c:v>
                </c:pt>
                <c:pt idx="10">
                  <c:v>8</c:v>
                </c:pt>
                <c:pt idx="11">
                  <c:v>7</c:v>
                </c:pt>
              </c:numCache>
            </c:numRef>
          </c:val>
          <c:smooth val="0"/>
          <c:extLst>
            <c:ext xmlns:c16="http://schemas.microsoft.com/office/drawing/2014/chart" uri="{C3380CC4-5D6E-409C-BE32-E72D297353CC}">
              <c16:uniqueId val="{00000000-BDEB-41A5-80C2-4E1C84E46B2A}"/>
            </c:ext>
          </c:extLst>
        </c:ser>
        <c:ser>
          <c:idx val="1"/>
          <c:order val="1"/>
          <c:tx>
            <c:strRef>
              <c:f>'Pivot Tables'!$C$24:$C$25</c:f>
              <c:strCache>
                <c:ptCount val="1"/>
                <c:pt idx="0">
                  <c:v>None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Tables'!$C$26:$C$38</c:f>
              <c:numCache>
                <c:formatCode>General</c:formatCode>
                <c:ptCount val="12"/>
                <c:pt idx="0">
                  <c:v>2</c:v>
                </c:pt>
                <c:pt idx="1">
                  <c:v>2</c:v>
                </c:pt>
                <c:pt idx="2">
                  <c:v>3</c:v>
                </c:pt>
                <c:pt idx="3">
                  <c:v>6</c:v>
                </c:pt>
                <c:pt idx="4">
                  <c:v>5</c:v>
                </c:pt>
                <c:pt idx="5">
                  <c:v>2</c:v>
                </c:pt>
                <c:pt idx="6">
                  <c:v>1</c:v>
                </c:pt>
                <c:pt idx="7">
                  <c:v>2</c:v>
                </c:pt>
                <c:pt idx="8">
                  <c:v>2</c:v>
                </c:pt>
                <c:pt idx="9">
                  <c:v>1</c:v>
                </c:pt>
                <c:pt idx="10">
                  <c:v>3</c:v>
                </c:pt>
              </c:numCache>
            </c:numRef>
          </c:val>
          <c:smooth val="0"/>
          <c:extLst>
            <c:ext xmlns:c16="http://schemas.microsoft.com/office/drawing/2014/chart" uri="{C3380CC4-5D6E-409C-BE32-E72D297353CC}">
              <c16:uniqueId val="{00000001-BDEB-41A5-80C2-4E1C84E46B2A}"/>
            </c:ext>
          </c:extLst>
        </c:ser>
        <c:ser>
          <c:idx val="2"/>
          <c:order val="2"/>
          <c:tx>
            <c:strRef>
              <c:f>'Pivot Tables'!$D$24:$D$25</c:f>
              <c:strCache>
                <c:ptCount val="1"/>
                <c:pt idx="0">
                  <c:v>Private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Tables'!$A$26:$A$38</c:f>
              <c:strCache>
                <c:ptCount val="12"/>
                <c:pt idx="0">
                  <c:v>Anuradhapura</c:v>
                </c:pt>
                <c:pt idx="1">
                  <c:v>Badulla</c:v>
                </c:pt>
                <c:pt idx="2">
                  <c:v>Colombo</c:v>
                </c:pt>
                <c:pt idx="3">
                  <c:v>Galle</c:v>
                </c:pt>
                <c:pt idx="4">
                  <c:v>Gampaha</c:v>
                </c:pt>
                <c:pt idx="5">
                  <c:v>Hambantota</c:v>
                </c:pt>
                <c:pt idx="6">
                  <c:v>Jaffna</c:v>
                </c:pt>
                <c:pt idx="7">
                  <c:v>Kandy</c:v>
                </c:pt>
                <c:pt idx="8">
                  <c:v>Kurunegala</c:v>
                </c:pt>
                <c:pt idx="9">
                  <c:v>Matara</c:v>
                </c:pt>
                <c:pt idx="10">
                  <c:v>Ratnapura</c:v>
                </c:pt>
                <c:pt idx="11">
                  <c:v>Trincomalee</c:v>
                </c:pt>
              </c:strCache>
            </c:strRef>
          </c:cat>
          <c:val>
            <c:numRef>
              <c:f>'Pivot Tables'!$D$26:$D$38</c:f>
              <c:numCache>
                <c:formatCode>General</c:formatCode>
                <c:ptCount val="12"/>
                <c:pt idx="0">
                  <c:v>8</c:v>
                </c:pt>
                <c:pt idx="1">
                  <c:v>4</c:v>
                </c:pt>
                <c:pt idx="2">
                  <c:v>26</c:v>
                </c:pt>
                <c:pt idx="3">
                  <c:v>15</c:v>
                </c:pt>
                <c:pt idx="4">
                  <c:v>21</c:v>
                </c:pt>
                <c:pt idx="5">
                  <c:v>5</c:v>
                </c:pt>
                <c:pt idx="6">
                  <c:v>7</c:v>
                </c:pt>
                <c:pt idx="7">
                  <c:v>19</c:v>
                </c:pt>
                <c:pt idx="8">
                  <c:v>8</c:v>
                </c:pt>
                <c:pt idx="9">
                  <c:v>6</c:v>
                </c:pt>
                <c:pt idx="10">
                  <c:v>2</c:v>
                </c:pt>
                <c:pt idx="11">
                  <c:v>9</c:v>
                </c:pt>
              </c:numCache>
            </c:numRef>
          </c:val>
          <c:smooth val="0"/>
          <c:extLst>
            <c:ext xmlns:c16="http://schemas.microsoft.com/office/drawing/2014/chart" uri="{C3380CC4-5D6E-409C-BE32-E72D297353CC}">
              <c16:uniqueId val="{00000002-BDEB-41A5-80C2-4E1C84E46B2A}"/>
            </c:ext>
          </c:extLst>
        </c:ser>
        <c:dLbls>
          <c:showLegendKey val="0"/>
          <c:showVal val="0"/>
          <c:showCatName val="0"/>
          <c:showSerName val="0"/>
          <c:showPercent val="0"/>
          <c:showBubbleSize val="0"/>
        </c:dLbls>
        <c:marker val="1"/>
        <c:smooth val="0"/>
        <c:axId val="650077040"/>
        <c:axId val="655990448"/>
      </c:lineChart>
      <c:catAx>
        <c:axId val="6500770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District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5990448"/>
        <c:crosses val="autoZero"/>
        <c:auto val="1"/>
        <c:lblAlgn val="ctr"/>
        <c:lblOffset val="100"/>
        <c:noMultiLvlLbl val="0"/>
      </c:catAx>
      <c:valAx>
        <c:axId val="655990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007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Banking Adoption Dashboard.xlsx]Pivot Tables!PivotTable3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 Level vs Device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Tables'!$B$50:$B$51</c:f>
              <c:strCache>
                <c:ptCount val="1"/>
                <c:pt idx="0">
                  <c:v>High</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Tables'!$B$52:$B$55</c:f>
              <c:numCache>
                <c:formatCode>General</c:formatCode>
                <c:ptCount val="3"/>
                <c:pt idx="0">
                  <c:v>15</c:v>
                </c:pt>
                <c:pt idx="1">
                  <c:v>5</c:v>
                </c:pt>
                <c:pt idx="2">
                  <c:v>49</c:v>
                </c:pt>
              </c:numCache>
            </c:numRef>
          </c:val>
          <c:extLst>
            <c:ext xmlns:c16="http://schemas.microsoft.com/office/drawing/2014/chart" uri="{C3380CC4-5D6E-409C-BE32-E72D297353CC}">
              <c16:uniqueId val="{00000000-448C-4AC2-A3A0-B4F22F26C8C6}"/>
            </c:ext>
          </c:extLst>
        </c:ser>
        <c:ser>
          <c:idx val="1"/>
          <c:order val="1"/>
          <c:tx>
            <c:strRef>
              <c:f>'Pivot Tables'!$C$50:$C$51</c:f>
              <c:strCache>
                <c:ptCount val="1"/>
                <c:pt idx="0">
                  <c:v>Low</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Tables'!$C$52:$C$55</c:f>
              <c:numCache>
                <c:formatCode>General</c:formatCode>
                <c:ptCount val="3"/>
                <c:pt idx="0">
                  <c:v>18</c:v>
                </c:pt>
                <c:pt idx="1">
                  <c:v>6</c:v>
                </c:pt>
                <c:pt idx="2">
                  <c:v>63</c:v>
                </c:pt>
              </c:numCache>
            </c:numRef>
          </c:val>
          <c:extLst>
            <c:ext xmlns:c16="http://schemas.microsoft.com/office/drawing/2014/chart" uri="{C3380CC4-5D6E-409C-BE32-E72D297353CC}">
              <c16:uniqueId val="{00000001-448C-4AC2-A3A0-B4F22F26C8C6}"/>
            </c:ext>
          </c:extLst>
        </c:ser>
        <c:ser>
          <c:idx val="2"/>
          <c:order val="2"/>
          <c:tx>
            <c:strRef>
              <c:f>'Pivot Tables'!$D$50:$D$51</c:f>
              <c:strCache>
                <c:ptCount val="1"/>
                <c:pt idx="0">
                  <c:v>Medium</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Tables'!$A$52:$A$55</c:f>
              <c:strCache>
                <c:ptCount val="3"/>
                <c:pt idx="0">
                  <c:v>Feature Phone</c:v>
                </c:pt>
                <c:pt idx="1">
                  <c:v>No Phone</c:v>
                </c:pt>
                <c:pt idx="2">
                  <c:v>Smartphone</c:v>
                </c:pt>
              </c:strCache>
            </c:strRef>
          </c:cat>
          <c:val>
            <c:numRef>
              <c:f>'Pivot Tables'!$D$52:$D$55</c:f>
              <c:numCache>
                <c:formatCode>General</c:formatCode>
                <c:ptCount val="3"/>
                <c:pt idx="0">
                  <c:v>16</c:v>
                </c:pt>
                <c:pt idx="1">
                  <c:v>7</c:v>
                </c:pt>
                <c:pt idx="2">
                  <c:v>96</c:v>
                </c:pt>
              </c:numCache>
            </c:numRef>
          </c:val>
          <c:extLst>
            <c:ext xmlns:c16="http://schemas.microsoft.com/office/drawing/2014/chart" uri="{C3380CC4-5D6E-409C-BE32-E72D297353CC}">
              <c16:uniqueId val="{00000002-448C-4AC2-A3A0-B4F22F26C8C6}"/>
            </c:ext>
          </c:extLst>
        </c:ser>
        <c:dLbls>
          <c:dLblPos val="outEnd"/>
          <c:showLegendKey val="0"/>
          <c:showVal val="1"/>
          <c:showCatName val="0"/>
          <c:showSerName val="0"/>
          <c:showPercent val="0"/>
          <c:showBubbleSize val="0"/>
        </c:dLbls>
        <c:gapWidth val="315"/>
        <c:overlap val="-40"/>
        <c:axId val="979799680"/>
        <c:axId val="678959904"/>
      </c:barChart>
      <c:catAx>
        <c:axId val="979799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Device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8959904"/>
        <c:crosses val="autoZero"/>
        <c:auto val="1"/>
        <c:lblAlgn val="ctr"/>
        <c:lblOffset val="100"/>
        <c:noMultiLvlLbl val="0"/>
      </c:catAx>
      <c:valAx>
        <c:axId val="678959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97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B3B3E3BE-6661-45DD-BA24-0C0A7A9E9CB5}">
          <cx:tx>
            <cx:txData>
              <cx:f>_xlchart.v5.2</cx:f>
              <cx:v>Count of District</cx:v>
            </cx:txData>
          </cx:tx>
          <cx:dataLabels>
            <cx:visibility seriesName="0" categoryName="0" value="1"/>
          </cx:dataLabels>
          <cx:dataId val="0"/>
          <cx:layoutPr>
            <cx:geography cultureLanguage="en-US" cultureRegion="US" attribution="Powered by Bing">
              <cx:geoCache provider="{E9337A44-BEBE-4D9F-B70C-5C5E7DAFC167}">
                <cx:binary>5HzZcty4su2vOPx86SZmYMfuHXFBslSaJdtqDy+MsiRzAgkOAKevP1meWpJlOXy7z4noe/yikFiF
KZGZa61M+t/X87+uze2ufzbXphn+dT3//jx3rv3Xb78N1/ltvRte1MV1bwf70b24tvVv9uPH4vr2
t5t+NxVN9hsOEf3tOt/17nZ+/p9/w2jZrT2x1ztX2ObS3/bLy9vBGzc88ezRR892N3XRxMXg+uLa
4d+fb3f1h13jrNs9f3bbuMItr5f29vfn9z/3/NlvD4f7bupnBlbn/A18mb/AAmFBmQg//0PPnxnb
ZF8eS/QCYRIKQdTnx/zr3Ge7Gr7+55qefV3p1w88urhPS9vd3PS3wwAb/PTzB6Pc29bvz19Z7/Lb
vnl20duxaK5vnz9xQHcWc2194/ZGyMAeMExfPDvZNRWcYTHY6PPDyO6P4uT409n9dt+E//n3gz/A
aT74yx0rPzz6nz36bg//t/H97ibftfDjyZP8NTPLF4RQJakQ6vM/fN/M4QuKQh5yIj+bmX6d+7OZ
767qztk+cQsfN/QPxnlg6jPbu/xZBKP3O/OEvX8w2j/M4np34435O43NXyjwVsIY+ZFPh+DuWAn8
+Tm5b+wvC/ordv5+iAcmvhp3Txj2+6//w2x6sDMGAtQT/vFr7stfIBVSyiX94r7yoftiirGiBH22
KPs692f3/bScv2LPhwM8sOarn8fmhyP8wwwaWWPrD/brsT6a237VpIpIyRHhX0wq7plUqBeSURxi
/CUxQ8D+fJ0+m/TLgv6KUb8f4oFZ39wO7umM+/0Q/zC7Huzqdpf/ncFXvAgVZkwR+iX43s+0YFel
GIKHXzPxfbt+WdBfsev3Q/yyXb8f4h9m1+Ndc7N8Pdm/wVvFC6wIwqHkj6fU8AUnLCSYfw3QX+f+
7K2flvNXbPpwgAcW/TlWejjAP8yeR7uPH5ufu+l/IzA/9r1vbrPd34rUxAsqRUg5Jo8mARm+IHCj
AJaHn58/yOt/rukv3a1vO7szyoML9hmS/zwhPLqif9hdO9253d9KvtgLRYXEED1+hN4YlYDewi9Q
AJDA3VT/eT13bPMErHycdn03wgPrvvo5fvtuiH+YUV/uXPN3k2r+gsuQcPlFGglDYM13tRMg1YDf
lFBfINwD7eTbkv6KaR8b5KF1dx/gPme72k9Pka7HRvqHGfl1D8KQrXfm9ufk629MFT8+pbueeu9T
v6jSiReMMfonvwuBst+/aQIRIQF/3A8dd9SuHy/l8Zhx56v3Vv4/IKH92DTflMwYYnTySQO9o7A9
/fSrNPfgq/dI+r2dfj3Kw5vfn1NA8d901f0I9yL0nbP6fMxfv3K7G9zvz0FElaCgIiRCDpxOcfX8
2QTc6vfnwAYYJpJTQXmoiID83uzFr9+fA/0jTDKFFQAEHjIKSWHYh+nfn0M6wYAZlOCQUEDRY/Sb
7nxhzZLZ5ttBfPn9WePrC1s0boBvP3/Wfv7UfpGCSlCJOGOScywJx3T//Hr3EqRt+DD6P22TcpyO
fk5QP7JLxefu2HHUWT2U9bS5cyqPzAW38fu5JBcQMCHhMbV/fmeuYjZVU4hmTkRl8rggQXO6tm29
Tcc2u6hKjKKn53tsb4IziQRoJzSkcO535xMzV1Uj2jkZ7JDF40RrXddVHdNOTD+ZCgSY77YmBEeY
Edgf3Tvi3aloIYIBczwlVKXqAgVD/8Gni38tJoyQ7kyanvaltIsOyn4QydP7fGxyyZBAMDUmwD7v
Tz4HhRqWLpiTijXNlohBrrpZw+a8xIU9DRkaLkJcysPSpOX101NDivtu3wq0YwbbwCFs/P7UOEMk
YALPSRqU9SnmdbUlrS/ip2dB6PtpoEoRqpABAaMUP9ihMIthi3VzYtBcHdnR+RM52fKgrTv8qt9f
qaxoWqu5WaoLPninu9otF2s5+lE/vZZHdoywhPukqGJCovD+jlNHXTnX4Zx0QVfFgeVBNOXWnj49
y6dhHvglIiE4PwLeyaH8cn+aDNu5KCXYFMtpXTc1qtDJ2pki0yUNlvdU8VrodRqafONW3nMN2n72
Gknj0E8OHyLNQxMjCuuAqAMoVar97bvjtTTr1Vg4WInyA9/Ksc7+oG6ix4Gfs+tiGvO4EVi9fHr/
j50yFRCQJJhcKP5gUim7KWhXsyRhWoJxVXaLFpUd/PokYEDCoDaCv59EuVZU0rAxmdoi1RXPqwji
0f/DhcEClD5AgRBfIdDfP7/e0zafqv2FISo/9nVWRi7l5uiX9wIShSAMK/BEKfdWvGMlzKeUj6ib
k7mq0niQeRv1uFY/ieCP3AWCMQQ5CRVBgdQDP+yFGRlF6ZS4QZIEoWycdOMLe7UAh43Z7IIDLqj7
yQ3cj/rAFwiGRIcogTADxYv7eyNV6saiH+AEp6XeUNPYKBsh5oR1RX4SxxH5fi64CRRJcDqwFd9H
ojvnaLqWNvWwjokvAiq0agqyk9LSMpZrHxKNVto1BzMaq+IgMGNjIiuW8hYN7XCeozLt4qbqsvlQ
WlTlP7mvj5yDYhwpBOkfLtRDp1jLhRQZJi7pmUNH9aSaDbJeHU0U5z8x9CPxBwxJIaMBL2UQhh5Y
2o3hONh5WhKQxKKAtAeQX14XwXiEwuyETT7XrBRJ3ebHVZB2vxpjOUytIJtAhCUh6OT3jTD6FC1I
BkMyCZZFK07rxEqa/eRa7XPyvWvFESOQUGAOQpmkDxxznFUvXNG6ZA1IGdm2W3QfolCbNZsOiAyS
pz0Uo+8nhOyl4DQxB7kQPPX+tiZv1zUIS5vgRRAXmdn4LgoBU4x6yF1Kolzm+KYNbE/1Us2miJER
RbENW9GXmk9hTnQ2wG3cYB4u2REOfYP13HF/YmqE261yo71Os7xGsZfLUmyMaUqp62qoiC5zR2ni
WOqXKJ3HwOiiGLJSC5uiYpM2uegOaEnFFDvWdnNEsppc5qRfy0jIOvxDlJJZbWSav629QTjCBSTj
2NcyzzbOSIyiARGPkpLJAV/1fTArjXImy1g0tiAxH3GZXzRVa5fjtbFcXnQzT0myqAVOYKJlfo3a
RRktl3UOdOEXu23oSIqomZV/NcyofFXJdM4ijGbn9BQIVb9qxrIYohoWVLfaN5RlcSdHCBGt7GwW
0Qw5o93AsybybDLnsi8qp1dbtRdNSIIikp53O5MaLKIQQHQYtQImsnmX5lHKRLlL3WBG3afFcjtk
dWmjMjTDbYpCvCYegm64DTKa54ep6oqT0qt10jXYmiUBwWu8dCOrlK5kRW1U+bWjZ9ivmT3uGBns
CRPt6hfN5aIKsG4XEHNms56GsR9ZT7RTIx6jVZZtHRkPiSMWrEVET+D51eEYpEN4iNOgec+JWxud
FVVWRW3Tqw+ZHVB+iFpcicSudbHpSRq6IyoRPsNkFm+gC2YsdM9EWiZhBRfl5ai6sTwSDgeXMqg4
im0KnESTuZFjLAcAIbrqAXNEFXJhpWc5+HHj+q7w2spM7VquvDnoZ8dbHRjZT3rkrgiOxqqjApa/
eBc1DqWntBmX9HgZAfJF3WqCow4OuY3sVNJyo6hL7TEZgzCLMYQdH89LSi+qLCP9UYA71moCp/l6
Metsj2Tj3ZKQterdsRXUn9eU5TTOalRk8SyC9k1VzguOpMnyMGmyGZ8XY1qczKYbhjjIffMRMMDy
BoJd3hwULB/eZUtDje7aVHTaYU/4Jq/SLjvoa1nWmuQWGnakKCddNYvbUdMyFK17cK3Tte4/GogA
Kh5Ma14VfIYx5rYrcZKX+VpuRe66DRvCjr+aSRCQqJOyXGJswbRJT52YL9Z5XWuqKbYojx3xdKNY
2wZR27LBwY0Ih8FHoRwCFocjresIdxZ77Who5KGVfIKLDEFhimZsuuDMLab11yLr8vpqmJUKtOK+
vWq55fPbPGuGy3mEthDtIApCrMhJAfe3Tdd0EzC46eB8ea6idIHAFVWchYfEe7YWGuepO6HKpW/I
QHijAdgYufEqw+efAucXmn/xOSR/5qzXtl36Isu/tEt9+/U/p197sD413/z5933D1Z+/nbe3zSvX
396601378JP7+b59FKb7Mv+ezd/75Ttd4QfKwee+rh88vCcr3BPkgCH9KRJAhAJ+SiShgDN+LDD8
oNPlB+N8UR3CfRuIpBSyDeN7xvRNc1AgOkAiAxgHtYX9ky+ig9wrCxgyPkYgSgi0z7tfRAfxQiLI
WSBgAxpnIGOQXxEdALfdy70cSqSAA4mSEmrcCpLwg1RIaLAqn0uXYOSElmaBCFkXPFmKoJmiAq9S
i2zwWgwl1kXYZZuZEEg5pZN6LQJ5Xk8EXLRpIUZNU3UQDuJKtPhtF7h4nVKv83YdD9nqyiTrRhcN
RTOBy4vLQQwEEkQZRCUg6UPbjCSPnLcvfWoKLSkkyl5kx9hnCWTg+rQZxjIKi7LRpu5v5x6/L4UA
nmnHCx+m71Er24+TQDpbbJ5QGryjuJ221pZsOxfte4R9d+mK/HyiyxC1fZ2nkR+njyYNpy32eREt
vSnPfB4c1VVa7EqPsgiyYtjqIQj4B4fxLmO+OBdmSE9zj9tNNqc7CnjmdGBcxgxLfD71wftQ9VJX
RGUnNK+Cs56s/rSiSx4PXbFdigHSJTtgHT01pLtcBLtQtT+jpBK6k/VRENZnzUBMjPOq0E2VvuVt
EOisXQptWpqEa/bWdz4pVvSudh14f6hOZGCPVn4wNG9KAmgYfaA5OStAsIq6djkvJZ5PJgWGZZZK
PdCx1s6qSa9k2LnOTe84X073gDYapqWKKpz1kXEZ2mIznRR1MGiVhetmmOi6CaxY3/ose137oozh
al8WQfqWjAXsb8i6OBXBoiv3R8M+9gURcVpkJ80qQGTyHwAwHbTsD8hkJ+04JhkFbDPSYmsJu5TA
ALezpMumkkWb0KE7btF1lqFz7mSvg7Cokh5D1A07gROc8bhumricuyNFZr9lHhiISLttC/nvYhCN
itS6HIaB3A64uaL5UulufUs6/w48wmo8TDGQaZnQEcV0xG9Wmxfa18uryQT0JghE96ZpUxk7VWWv
is64tykLyKupWOmqQXhCJ3kpL9ohKA7LmuSbdkQBIBiWbYOmUafMqBuWToUOK3EEAuObCVDAtoH9
vASU325LhfA2L0URTXWxbsOghFzuFYurJfd7Iw96sTZ/rVoxJSvi/ZGwtj80Aan1Mtv30CarR9Xw
AwspI06zkV2pbBrPqjLLc21IeNKE4aURaIxmtVyVA+7g5GbzthLddCZceRSi2sUAysfELZBLzfrG
M2WjsPLvq4A3Bz0FN2xNdd2htIh4ruRF1gCcsDk6pel46XC/8dx/LMd2Q9IOaWqrY9V0f6Rjvg1r
cpb5TujFq9dyLj/2OPM6FEEQubnp9ULIq9QtArg+brQycAf6UcaFucEgwWrbenUSoozoPJu6WNhi
icO6O605YJNpCNBhjnGqjVq3qK6vejwdAbw6LIP2eCrhvoXTbRh6iCJFmp2a3IQoGnO3v/HyTToO
N6t1V2WTtGl7E0Ky1SGt15isYa57f1YDWKo/pk2/UejdLBot2jgn5Rpl7CbMXK5tJl/5cB5jW5Yx
WdJtA1JY09ODXOET29u4gLPZH8EcSWCpgIWXyEoDFy6gr7qxrxM1NNnWd3XoopqreKxVoYdeHhRl
90pVYxz0eNjgoEYbtdBdOpf5zVo1+dng6neiLzaIuz9UWY5Rn04njuDXJa4XIAe0jW3W3TQNu7Cs
v82mVR7lEPqTsHRID2QmEeAacO7QvFUuJDGwDJHIJjgp52be8rGboqo0/CQ3/mbKao2LMilTAD9K
uG1qCBCzcqqgwsWml3h1WOMstxBtgcnMoLqAAOUS2tDDSs5iM5RKHvcN7bduPASEqGcw1oGawm2N
M6PTtl0iNR16ZrbThHuAvvQ8MPMcC1S9hrMp3gWhqqOCVJ0um7SP3RBSHayr116aRmMqTgju1FYu
Em8sG+QRW6bm3FTKbUjYO+3y7LVlhmtMUK4DQr2GoH2uivUCkGGdtHN51k6ga5Fy6I9XF8rEVNnL
YK1Og47mYLXqop4GdDwAWG1AuU/UmMKiwyDYMryUwKrqOQLtU5wCB8muDIf0lBE8RJ2jJhpltUQh
KwvNl7XZzGHmNxxbUC2aaj6E0345VtIn1PFzlTfVpcGtOcp6G0bCrsGxotJdtMBgQdkJ4XYZXEei
H/4waXduFNzzX0d3/1zcxgC4/Bi3PdEev6++fEN/+1G+1YpEKFhIscCfakIAwT7jNmgG4QhRGUK/
PpSc7+I2/oIJDjpNCCUVjiRngLb+LBYJBkq14CCagwSpfgW2ie/EMX5PwCAPFJNwqSvpVmoTXr9y
qcjf3REszLrwPmJZ5fXTqkU7Ifw+R95ufq5cqJEO567J6zOSQhUrXgYQatcVBTPQsEUNb0Qx+pu+
zEV1kGUFN1Hd5YzrtlIQV7riiueQPyEKNxCLiWtUvUHdyjIN1bqCv6R+xZPen3qnC849xAqqxkvF
+iKPPJnqXhvXhldL6V2YFF1WfAzblp5ltAoIUKUiQJCU+Wo3VNQ8TXIcIBFTD0xI21LOegYqfFVO
gK11C8vJDteQ1J1mGZSldF909ag56xYoTtVqMrGfSN5p0wHYwgCVzsvFrZkG+Fe/d7LghU7rvrqi
JcrPgS/PtyspTBUFIv8sVf0S4/oH+yT4zI998vvm8kdoFIMhvjkkvCEDgIRDowdlZC8Yf3NI0KQV
tG6BUHrPH8ULEPoVkCUKLEcKBF731R/BVYFdQSkAMhz4UgjVlK8M8h4RhpeIvvx+t3hL5P3C2J5H
wUB7oRZoHoVJH0jjo61M4auxTzLoELgIl/R2HrG4SusQJ4KMzQEkti4aqymNA+OCs3QUWSTwUOs0
mMtdUI1DXKogv24Kvh4F0zRvQGq6lGuQ6zZNuwPLV3dcyDbfjjK4YaYponpmAHjYtJzNOK+1RQHT
qDTzZqinIhF134HuUrUHyziOWpgepOK+2aHBL6BKkg5qsHN4JMTSxWho2rg2OSAKkwWbrJ9DjWbh
YtGmACerNkhYz+1Hi1pAgHR5M3TtsTWr0z7PL7kAGELN9F4sObCMxk8bNOXAGrybo5F304HEElDe
Uke0IXW02PCjXKiNg7U8G4fuYESqjae29XG/EKiX9NkpWqrzHBryIqIsrI/NVZIymkVdEQ4nVRZ2
RpsR4ThD83g0r+5AmfqAZtOFypTbFjlQVmUB0PGxnnWlwkyP3ZifsqW7CQWQkIrNb0Qwr9oG4pAX
M4/ElJkjYVQQTystzwbVw+KJtQdjNW5JYO3LYizP28FCqCgo3rAwgDP3JahUQC5y3JjNwAHI7QFP
0ZZlpECh+0CCctoOqW300M3ZwTJMrS47v0btEto/woDd9E3wYSkL+EvRHbBBpQcyR+fpwl+7oWGv
h5kdg/51HuDJb9hcuqQAY0d+nmJRnTugYbrF7IM39KAW9ohXte7dXGrXlP1xG6xNzECy6qQ4UmV3
MI1yI726rtQU17PRZJqDqAm8ZgvxR7ObXg6uOJmA92/Llp6kxXrWcXGW11MVZWW3HdumjDKbvXYt
iTGTr9ZhuuYyf9uroo9yNp8CfkEa6kQeCqFVcegpY4cYmIltVb4JuvK4FlWTpAa+z2W3QSTdABDU
hQQduZiCuMz9ydJKkYHul4c6JAS9mufSCz0BuFwCQzXcKF2X08VaQ8FjMMGboeg/NA0/gU7+KyiJ
bIjrPpZT3wOQt8CMU4pjULkzLRVaIlwNdIPLym49VlgvyIOqW+sVr4eyKIC7mvfLvLxcQhAMuQfl
I6RVnKrBH409ummtD+KqX/MEDdWagEwdAIxcUs3oEjR6qcvGaejyAGCpqvUj5RyKgDN+22RVEQ+g
VWsc+KuqgcpAw8yygbiSxQUr5XVJhgLyVGU/uLU273sxlxFiqD5ZRwFMIpzr03rERdS3I4uqDNQQ
Y0Z8UK7DccuYB3lwppuCLpB5p9iuU6XV5KeoG9W7oGx30orTijB3WZK2jo2yb9oGz+CLIFNnFb4N
XHpacJsdgGr6wWY+j3LXo1iNcKEg6hidBWjQLRCf47woz1GAXgYtWuI1q90xWRQoIL2ok7yFC16N
SkR4noMYZKwsUlA2SAYS9IddgAIdli0MZCg/JHRcN2Kh1326locuV/ZsLvF0QXKSn+drGL6HL2Wx
6dWpcbQ5CQbhkwGswDg5MAKK7aYJVAw1g05jAyEsZM4nzVyaiFZw1B1er2Qj84gxcWbaNo/TVk3R
pOYPqC1zjVMQWsoqvZ3saBIylLtcLUU0m3U30Circ5YYU/Vxy/fqTGCXiLUlTWa+koQQtusNDUG5
svwI4t31hJruoMMNVChRU+tmbF9OPliTrlt5bF2+aJKlJ52btxkd87NGpEZDAaI4HksSRhSXKmqq
AepI5QJxmHjYExk5gDjzKsQj050vXk+4yU897V3sSqDlpKZD1PTjiVi7d2UzvZwNuhGjPLFBOB2Y
qf8DciKLZB30cMmBXvlmTPLV18lYMAtlrjKMcdmfmApaRQqO1yhQ5ZSUBjXgLGQzDO6daFins2Yy
SQCg8yBfQOyC7y0HBPeu0XT5Wmb+/xv17CEANGdwjEFDJiEordBK8WP08/A9rD+xz6MDfZOS970u
bN+LAX1UD8RkhaApBBEmANjsFeMvYjJ/sdd34Rk07kB7G5P3SAkH7VntvwGvTHD6SyCI3cdA0MIG
rATeZ4TNg4Ylvyur+o5Am5NYm4Q1tY8p9un7JZgao8MiW0AoCvoLZYM1TVhuJNKKrGMfkb5toBKy
mqnR7ZDmrTashJIOzpZsPR7pHC8Bny9BwIDCSybSGdBCC+y/Si0IkwJi63szht5Gva08ieYmx4dz
UJE8mdCkyiMgCA2KisrXcNOLw1bi4zFVPd9A0OanyrcIQBNDWQ5aVA/J1K4L1Fx5jdR6vAyYlZtw
VlWoK1B2OtCjfr1ME7KirM46Us21/t9E2fmTDvL9K21/usg3vr4f4ptrgOchaPIm4IXQggdQ/1ud
RVK4kxIinQihievPOgu8oCvAY5SEp8DaQfO5ww+giw/eEwDWAB0on8b7BX7wqfPvfosDJfDWN2J4
77b8YQckLRo+Zdlok2Ga/K6cyXgaFunLWq5Z5N+gBXro9JrbQEXFCPrewsMjh2cZIYBNQJgHRkFE
SktoPuAoOMJupm9mhN0HpOb1wNNa3RiHofpbQ7cdIFAyTVrk6dCCysZfr3zoNkGK8lWnM7yMDLL5
HBfzGk56Zus66Hwp56iCeu2boiauiCi1b80wT5cFB02OO8Bclo0s1aUj5MSg/rwZoEti6ur2LLDA
jImZuot6TOVLRrIG3AQyb1x3cr2a2hRRPa0zOjbGIpeMplWngg/LmozIu+u55Orif5VbPFmBfPTF
nsc8A0b55hkM/rsBeHEZ6BI0EjHohvnmGfsOYAj/BKQqAjf0W9KQ8KLz/v8o4J8vv9x3RH+rQEKi
kxK+tW9KgsbAX5Ky6IOW0n22kwTIO2Qf0NP2xdD7zTjjmIIknZag/3YTQM2s7k9BJ6ZBNPi6um5p
GkQCyPNr7vmuWLsxnnmFT6q0FZcgqudRL7tVty00Q9jaXdkyvQYRYT0qMVQohyq9hhYxC/AZGLO2
RASb1QVjwqGFI3ae7jjOoe4AfaS63VPWrHEMOInCUYDK4KC04UtgVjtoL9jOucl1MWXlNk0BHoU2
Be1LIRFZVB/hBRjewt4x0h1hqzZ8bVrtALLTuUORd7aDVg38B86hW27qC/7O42wTQN8EyMXTxi54
1KWyW+nbi3p97cpaagodfiAcF2ckQDZawuytGv02LFwZTWL9sFiswKllGCFaME0zIMcKiKb2yn5A
UF+Mlo69NKR56QNuYFIDPc/CS438kMeyY1OUN/NmytJLkReHI8iIMcvUe15TKOl1UPzsQhAnZJft
645XbTBCzm3GXQYEeanxR2hf6o9mZC5rWncRF+bcp3bcDItqNy5dTrwhp3iocr2mcx21c57GSJgW
iB6QdvuBUgS1YSGb8wqodTS3DoBp3p1WYv6wrDTTtK42wjWX0xxCCW8xOqjn19AF8wHukNezm4Fm
QBlX87bPEjl0VOc5NGdBO8aow3boYl4Oh3VQ06gf6y7OUnLZQivxSReKOgbG/hKALtJT/Y6Jbktb
C432fX86S/LRN/tyRmsAXq+s0dBheFDv5XbGB2haGv4o9kK83Uvyak4JNN80/kLuBft8L93XexE/
3cv5DHT9aS/wC1D6TSCmQ7EX/1HTeCA9UBCoSF3oaV8k6PflgnxfOGjTGu5Wn+VX3b6sMM/5HDky
QkfLvuiQ7ssPdl+IcPuKxL40kaXFBbQp5VEWVqc1VC/CfRmD7gsa3b604Uh+BlmwTlg5X+RQ/Vg7
OHlg1VDICnIOAk72mu6LJfW+bML3BRRob5FH6r/YO7PmyG10af8iniC485ZLbdrVUm83DKkXEAQX
EOAC8Nd/CdnTluRuz9jjOXM+z9zYEXaoVKoiCbyZTyasqdIELD3goXK+WMMFJjC+M3cNcCHAjmms
MUMJLJremjUJXBvaYWXhLLrS1tCZJ/xQ6uh3U9z7V4vLkowO05bzWFKO6zDWR8qdaV85sYcZVENA
WUVfDCNUsXSU0/kYQfbxoNHuG+otEMTGY6o76Ayy5h9MhD2bY8I08zz+yBPRXPZwT3HdzvdJNEMf
mmh6quCN5jDiz4yOlsKX0b0jApn1E7+nCX0TVSLMF+/DFK47SeJznmyfaTN354aqd1q27wPGnD3b
vINS9fnWEadoBS9cIkvR1T1EI/Fupt4nZ1BrVssIpqTBnZAwvlvWqM7WhVwG44p5bsZ3yDuRT4E5
qdotpth767c9NKMjaGKx3zpxhqt4hpqziCxp9F6KGaY7t9dz28wFS+Ixn5v5QrtkKRaQYHldD/fh
UsnMD8lh0OlwNnXxfbvgZgh5GxxM6vOsf+TelCd+uxRiEDKbfONniV4MdCj3RtCxywGOrpnwhzSL
XO+B+HWUU0jbCfYZmer9dwkjbRYAaqIr6TLdT3kt4L4zD2JdrcObfsDWwpN+YQKKmyv19nKZoky5
/sn0jsCb9US2glDCJeQnxZbSOic9xbY8CZezJuTDGeNRVOeucYY6653W8/eb7MavzPjyfPMHvXPF
wO96CDOi0p9j6T3iuT7hEhanGhuItKvfil7QLJLNCemdDYGA8BCP/vu6Cz9IV224cKdlt479biLm
saFOFi96D/v/q5zg0NUVu2vj9VM96tMk12s+sNvWXcshPPX+0GZLSz65HVSpWCaPohV3PI5vK989
klReOcKPc+WMx20Lm7wHoZVpM4BIXgU8hjpuzuoIAm3cR5drveZq8cFviFsmGcnAf2IrLO63dqa5
38dJ7hmusmVdj6lHMQbBRIXYu5u9IS5jiqe4EvNFp2dIrkZ8CAjzAA0451VQxZewlO8Cbz1M0WGJ
ofcqf4DmCmvir7nBwhboKZtmPT4CThsTghXmfzyVv/vyumnjuy/wbWOFmibkFQBou3Am7M7l28Yq
8ZHziLHhwtDtBxhTfp7GYxRAIaSDjVWKTVRCEvyvnzdW0f8gN4jsceLjvyYE6NDvsSQiu296NXLA
9SBAxJBBQUbAkl/PAHojjAH+iZGj082RdRtEv6dReI5UeCumXso92cK6eWSe6a+jhJgQtkDkf+gA
dt52qUqxWEfU/+BvrX0ijUAlsy7cQuAby0ovf5ovhL+Y0/PZYiBm+wBMYvropyKp8rryzTuz+RpI
o4qqHeMG2xWS+HWcSRHHkJ6Did0MJjpfm4ZcVB7SErnSVHe7sGVxkIu28rc9XaECA8CcfW8f6Wr6
EIlNuQVw9LAt6azTIPs1hOnFYYV7KGi7m59IzLYHLnqQnDlfk3AyfQaAX8qTCb1BAnR7hWZi6zr4
wJesItA8qQPIcGHVgSED1WC1AsL8pCUMUBX+mrcYrqpfbpFvczmikL9xl/261eQHL/HtPkPaJLUo
HdpaIGP90/dZCpnKWvTw49H58PsGGN86ey/vM4Q1rfCQQkXGZP9qfgknRQbE/kTpytB7AG6z3ox9
jYG6sQM1taO1M0bOZ+lrAbmUkur9//7t4LmRJkcnnFeZi1l492losC13QIRueUwJ/xQrJ7jpn6b8
/6QrOYLN/OP14nWby3euY/sCP1/H5H+gD4de6EUJUuSR1Wh/Wi+AlASeR/Cchjr7UqKyzSQYtZ8R
xM/WCzRXgTdBrBZpM/RW/K5B3CcvL2Q7iINNAe6CN4d1ybMk9PMFgyfuwp1twL69avdzha3L4MCW
7Iyeyy4Yvd2UTHPuxRVQSpWq3IBgwkg930k602xQy6UZlSi068ty8WNRSuRsc9cOSnHDugwO5n4Y
0txrtXvmLGSXOL3K+JzsFTCybBi8C2q8cB8EyBsY7d2O2/x2kt5FmIawIkCSZnLkd6qJl0MXt4fU
rxBZrluKV8UygSxBt/P0OBVgh5edB4cq76agPqW1cDOl26JXZLlvKuy+okonRc1aDVd4wCRTaVXO
sovzrYo/t8xpVL6t8XAceHDQav640PE+DhE+2Ux4t2DFQHxYxAeqxquojdMzGXY3/qZnDb9yvvUk
Pg8sSPNZNNE1m8h01UTh1Qrjz5d1mC1exPN+E5kRUX+Q3cLLZkGoMqpajIKISWXchA7couCLW63w
2Kn8Urv1YV00K9u5TUqMWLD/iXusEkjTIC9VjgkpN/1y5iFNWXh9ctnCBqytHWh9wamvZrhF8xmo
BG/vNsgSjdZHrDReiOu4u3AXuIxAl7pzZZ3H2XqQxrqRjotwSmMdSt96lfGszE65sAZ9/D2TdTRh
IbICA+l7ulCnGK3vSXjLLyWedaWv6xN8xbqc4FtnGEtFbji2pmvUfmbzdqNW/8oVgdovZpuhftZX
U0KuYmCi5wMSPGVAh6NBoiJTyXzoRxHns1llOS76Ih3rOm/qZTrEjlzyYZSge4aVXMcmXLFJIZep
dtk5xXRaOhotpAn4obLC9h6ZiQiTFm38c8y0Qe4LE2b1vOGLVEAJ6ByU3gxPQQzAg2qIreB+zVHS
9DHV8o1EUCs3XqvyyaQ3WtYXZmBdHrKuzbpt+xgjS7QTLkuz2fOCspvc+LyimsF1RuBJVOpyCqPx
qL1o3AX485GY54fWma/wfNY7/NV52lXXap6LzRmTbIhgHS5WxAnd9lZD1XGtvFOJ7jGxgg+uE5q7
VgTaEFfKNysMrT0sTisVCQ7lCtoRVp8hj6EmDT70WHQKJIjX3am1v3Z0f+itAFVDiZJkwT0BbUpb
kcq3cpU7um8XK2DRqkWyDJpWaMUtb6l2AdQuIz8QK34FvD1tuJJyNLXorIuwt0Jwkx1WK5t10M+g
IgNzMbfUg7CmWehBf4LY1naYX6NWNFeMYIKJ1TgdhBu6WdwxCilEpNA+0jbF6BvfRAyKQtV0uxbK
RN7P6pNs+yCL+VBlcVUn+QrKpQC1D1FAJXS/zMIUdbNgGzqsA9ZhfqcXF5f4UuuiHwe32BYmsl7w
JetXCo9V+265bPCxx/Zt4yYzdqrIxI2L+xYuwpxtiid5GIgva0dOUcPe9hS3nKYIjtWtKlW7XtPW
iQpnqdyCbrOLL5ifJXOT7NOextezMfNBi+ZunLrrqXMAEYd+DXK/wlts9W1tvIctlmuO6FVX8k6i
JGHF0L5xc6Y7ceM1Le5NyGE7HQ633YhHUjB4l0iE1ztTa+ezGrcAKj6kif+kVTwEIPnjVfxXnUrf
WcbtK3zbjsaeD8rrZ9HcSuPflnGUv0Arj2H+euRJNP9mwvophkEs41hnn0I935bx8J+rEXm5ij+Z
sHa6RGYamn9A7Lt7vor/VraVVpodINGVfrfC0+9Yor+s61hfOZZm1GYD2BhZxtHxUpg6yDUj3mMZ
yDkGmwSt1KKR49ZttOjX1CKTT/jkxqPuxvPBmsTgEW4nwSMEVljSV9CUEFHLvVqJj9x1zRsWUPZe
Qq18G1njtnnycBvH5302Pnm73Nq847LoGxmtBXnygHULMAhbDusNJ08+cZOYzsmSJ/84ePKSaxKb
qmTWYt6s2Tz6Dh7GcxdW74J6aPKkQvjkV0m5fkzZuy1xhM7nPxaX+/8O3rQXEPZ/fhwBqUzxcEt/
cwP8vbKqX+6e777Yt7sIuzYP++HQg0DyVLnz7S7CVYtYHCQH+KXPxRP4tWjWDaGQ4EcAWSSwsr6J
J9i6YgsMSwr1C8AZft9m2Mowz6Y6uxlGJB1bcuyw8Ubwmi9vo0YD4p6ACJcxQ00Mq6NTVycf2NCc
DO3KJiZfuKp2ddOfCYXlQjI9YXe6XMW989B6C+wKBPyOk1MxLH58uyRGmcLh8/tYqC9B6xhkg82X
mZMtI0673ovEfF49d9w3aXuzpi5uTzIgfZ6O2DKAY8iChruIyiGzU9XnwteHhs9ng0pN4fv6qyLd
m6RbRBF50wbwMtwTB2xYA+d2c2YFRLrXmUCnwzFZ4JfURFwY0Ub7eJZeadZ1H1fCv9Ew0XdrhI4F
pdoqT/kwoWdEv6Wq1sj4RU2GKDF8l877GLntBToV362zUdgL0FufoaUBIRBxwaANw9tlJxjeXzSQ
yBxL7hcsUdj5xhNk0CZ+Izk6ZMjSkVJYUglPs/MV6FLP51uHDx8aMp1v0aZyTe1GVyOqtCYpvQCg
cQcwM8x03bzxLR2lLCdlLDGFTbCXhZaiWi1PtViyKk4hu1InrC/H0BxQ2HK+VtxkBpxMoS2bBevx
NglGMJOW28LjZtx7QLmEZbr6eHGP25g8GMt7QQMLSmkZMMO2ELadEle4Spw9Gmj9B7fx+qKftZtX
vb4TCJ6UVMQ6SxeQ6V5geBloEr/d4vpGGnQFpCEbsHI7YMUoHqRhq4bLMAVHCrlAXreuC3wUSahj
3UrYes4AmC9ur71VVoeQy+oGmfgvTYvSC0ooPToOOU9ld49N+5T1yfgJjlERp/IjM4IWIS693QIz
Zhc0objpIu1lnayd3KXB59oZJZA6gFzoncJe1515jq6C+n7lTVXqhl1sTfDI/OBLPPJoxzpxcLYR
oahVYQrh4P8qxAnHyUWAvRvPvd69Sdy6kHpgJZuZvE/GGUnLpK3zVIjPkA/PoioC26mgvan+vHf0
Qzy5n6TW+3ZV7+EZxIXyeHtWEVzJjMOtG8e44GmC7XAlKFCeuASF55/1NQBVSjdk9gfgeSO/2gb0
ODg1Tw+TSN9MY3LnAszP3CktRpFkyRA9thNsBs7cvO+mE0y++ujTGH5I+LWLJuA9bDy2G3P3gIlY
Rrr+k1QyRYZOPKBNK0L6Td9rRXLHUTm81yDDrvC8afCZOXFZz0lc9m7SlOPmHD0dXEIZejBjXdCl
T7MRlPN52nnkTMe47QWZPy3aXMlpLtwImGCMS9XAHh7vWjPn7Yh5LAg7eTBAunOQSKdQDWaf+FA9
DWBPNCtV3TnZPqIrqEAID+mTNiPKfBgSZK2MxPXcz3OfTy4x+zGG44ZPbXk3LYWaRp0FK40/eJ7O
WPcA/0/u+ZYi/8abTFFvDz5lJAAn54VtBaoeLtyqXoquq5BvR9cIMFTaL6psTFI/caafBRDfRTLv
IxTa+s4g9oiBDmQ5yJYI+S8iin4SqlBhkuYttwU/oXmoQ0rz1sTXox8NOVthdS7tEXk5DDCeKl0v
ul97WC4x7C8V0tOGOCQKOY51Fdwaat56BsTX5iSqnIbm3cg2ibsmjg/D0l21vv5sWJpz530Luhtd
F0VMH/AgGumHiS0nJPKvRDQW7hR4WRw1X4LaRWi+PwUqwM1A8bWG1ZIt/ljh2iLxPqrv8Oz0ztYt
5W8Rg2VoppEIlPE1KleqL/EbLlYNFgEbcp6FFfh2L+rnW91tLW4A9xK23A1xg49bIO20C6doTerx
VhIsKFVlrlpsqjIPo1Ceznw8XwMGNJqyU9JWF7obomJD0YtICLyzjuacb2/HpfLQoLE2j+O25dJJ
evC8IXoIZoDRgQefrgfefsL1auIaYb0eAc+/5ljwXKWOY3DgHsS3H08Ev+5xfrap+duP/xOqXgIl
0ENRNYq84EjZfNmzjQz6lZD9h+YXhNh6+NHvcYHCV/L031Q9WE3QzzE2Q+x+MQ8EtA6wElUjFtp2
yDCuAHnHKuTb5YjYhUm3SPbjetbZhDLCErA2st1YyOB29kWt+uCB2WVumHxxBXgjhJ6Fxy30HVlQ
BBRKnuYGwDT2GwDHgFBry1Kj++qLb+nqsO1qJJX1YxWCZKj7GWFSkl6mlsqWwLNDy2kPlth2g20u
4YiLQniYNsII9VmdZbwnHu6Bon+mE+hvKHr9eQcgPE5WigkbjDhSWOyqxZP5WsheXPY0aY7+EH/y
LF0+GRofN0ucMweamkp7dQxXPy1DkAH53Pkw9C2t3q7Q40hb9+XWNmnh82U6kySy6kFw21b8arTk
Ox1DxFosDR8aIN5TtCI9XgM66ADNN5ae33p6WQOnN4rzfLCEfQfU3gmAn7aWvk+B4VMuHiSw/Mry
+YAqOJJm/0atjqdSXFSxkiZrCacDNi0IVzc22RDO41a2Nu3ABzKcOt/joP/lBz02Oa/psEf0iu8G
OH25XNetIJvflHMNVfbGJQhzoAqX7xLpdAc9+BBzOnrBTCQOskdYPOhq74w6rr93EHA6Y9THYhUt
d+gKRMZ2q+sCxTAXqereQcr5YFqKsEe63XLf97NFrh89BcfSbfldhcZNdDjEkJZrbzrRLjwnMUCS
pFF7ZBRYrjpAIyyYrv0G2l+QIlPQibDOlw7YTdtN3UUSLaDxkeZRCGXpMcMGcMnZFufh7OJbn7F4
khQ7fIOE9+rdjIBdyrWbwAdQHuZupByQZ/oa8A/Jo2gRCr8zlZkefdCdfWL3PcCnmti3dQVlqHt6
lJ5YypZCRVyq9YC2SrQmhQj7JItBN4LCjnbaANFMkzNmBLTZkUqUMywJO5tRu0HwRlOW7Dlxpsyt
EEWKB4kvBYzVhYeIij84J87QU1VR0A3QMm9XgXYylDugbGOkTpW7IDuKtAlvUOa7Qmsdp3xK+qac
arkcja3uYOlcROjycJvwnq6C70FYkKKaIMb2rZtc+bYEBFF+D0VMKAbpAaohnj3MAOGWBPEfLGj4
dFEmghkOWmiExRsWA2YOZP5Xy1dNlrRagVx1gX+x1fRIdQ0BGyHO8bC6H0SvT3Wg7jRoLWGxrR6J
sysnQgsBwk2ovqDN7TiQR0NAXljkC2WFS0YtBtazNyqCatBjx1hoLXKigncbHgCrBceQFMQ2hshH
txoKlG7diCZ9XACagcN6iLDFn8Zcq/tg5DmTIhsHdJ1M6BvRjxSI2mpZNVI3iKxhvig9NHAgHFLo
BJrl4n5x+scxJUVNICwKjvheqjAp+haFY8n4oar6Mql9sfNGtuxCy83NbMxX0t4EFqlbq/FoRUIn
cYrEVQ/wrVHPgBSQ2+5R3nBEh8d7ErLzqUf6yJjz1uWHYXXehOD2piX6iGqquFhcetQg+6AGXoca
cI5rob+tek9A93ocU4d8L0d6HJsgw3MQT+hv8nIECihBBROqEGzwvL1+0pi7ZV7RHNJmZr10+qBo
+ZncArSVuD+LzgyY/zDGEdRodpviC0ZMqYwYb/EZTIdxmfdmaHbV3HjgUXTOUEnW4XPrB2BsRKGD
7TtitBG4dAUG4G+CdBxXXTbbulqF2ShRN+kKU0FXeH4n4NN+JFD3xFwQ76KRoICidz4KCCbU3oq4
WINKPhOsU0kEVGXKMiZRsfV91Vo3MS0Hzndz6xwcOcMB+q94bcOO2Mq3GAIGguu0fTuOcNeCrto7
tg+nX5EVBRp+qr36Eh8unr0triYhVuwnmuGsaUNMX6guw/iatDk0Rl06jPCC9L65QOiy9GekWyuj
0bCxYA2iWzms8isepAiUbT7Jer3h4vPHzxXCi/kYbOdTg4xhTVCc0yXtJ7k6Z1UTqmId9eOUuF0+
mtnNEpfLvK993CJNsOUtUqq72k7NEcZnhTG66YdPDHcnHMSzmvN7KdxzFKLRo8twHXTjsA/sQF4t
W3VIMKOji4dn1I7tYI7RhGFHeW2HelLhkgrsoA/Kd8nwgG6Kv/5m/CdkJIAp9JsS/aVt4355BtIv
O/IXr/GLvBghJY4mZDRcQ4zHtvcnefEPVX0nqAcP0XqMxHiYuljRfs+e/Fftk6+avu3/fwZmfa/p
WwxLdAnCKt3/CW3fmHye/75/edv3q98XQ/L7o23f5Huf5fO671duxy913yyp252nYmhNeupRWtjw
0jY/FF2QyH0bDOoW3V7VSYkaO1SuF4iSs3sRz/V6EUWxue4jDpo8AOS9ezY5fqcbgLyUkqGB4/tO
IBcTODK2Fdw6Ns++71et4AzU9cE3KoLGsgyHyTUrzHaVFg6KbnZPReFcLN5uQXozf2oLZ+gzv+My
ev/b7+t7bwuNCYARf2oMf4V7/NHGcPsNvMCjUNXwvDH81dUev2wMN9IfUCGrxvxVbThxgv7oDIRd
/FId3kNOLh0H5OLM+zyoFIrAfvdnQJ53iL/6DP5FHeKva3T/hR3i9t57/W0ECMj91CEOMezltfi9
DvEuHj+NmszHP7VH/NWN+q/pEX+ldfzBHvHvXNEvesRfgbVy/luPeOKwFS12Pm7gP6lM/NWn9gfL
xF9FsJ6eUC/axO2j4tkT6lWbeDBGTR4Snx1RrMUOAp7P0TPNCuAL3eLJhoR8MrZO+ScUjL9aOv6p
gvHvfI0vCsZffY3/aMF4J2lTrO4WX3+/ZRy0hooQrrcG2z/SNU4IDNdX92wANxQ93AHqsXHgwauH
FF9Z2xDfQ1FY7Qf86PA6nTHHip7mnUPXzxqdfTqLNwTeduOK8TxDyVLigBmBfpBzxaIlN0iqXULM
AdCyuXH11ZmjGKEQ5rVD0UaLSsstqWCCLVztPaFWr2gHw08wlFxI9S0xZzP8AAm+xmyYaFMxnAcy
qYciiXHmBcoIBCSSRM58zrmpxLRzAmo9lgqJiUhB+MhCoHMfxy6qNYNkPUHvX9mMjITb99AOnjcx
S57WyU01OrVzdOH3sy9dmLZoEv5BJ7Nia7Vf4hlj7P9SMTMy+GvpAt8pftTOjAwA/RxOjjz9ww3N
7khQsAISEs0KcjBB1su1B+73j3U1VxG8Pfygma9/s7C5G6P2zkcF+bfCZtY4H5dV9tPuV63NEeai
syGiVZjLRqM+5j9oXrHbuB8bCOXDj4Mk38YV+xLfTIQEBVUI54Y4D/r5yURAg2PsH+3xgxg/XmV0
U4TdExxMEhEXGdoXUZIQXj6OCHEJgCQkTsjvGVj+7hkE9gn1bH2Ylj/zDAJiU/gvH4Ag9XHuFv6g
CJ8DEvQvf/08snQNqJnKASqe+PjUh78tUKG6BgXz2d8vxR8q1YEl0M6jIrYYv4pdxz1LawnJ7nk9
fu9q2MW8EcP76FlHPgJXNDwuVWNqAIK/1ZTfDEkJaz+64tCvY+AOc4vaiaeS/Hle0IfHcFLHcvyp
Kr/pZ8//qFoGSEM4cdsUP+rLxzuKypEFc/73S/ODdhquFTpatiZ6DMMNTvNTeX5vVrdEFqJ796xA
HxFr52rphJeD40WLftj4kbOv/ejqB036K3XbDulmPMsZmRkiPM6ER7xEkUHujuEwQe0nzZxXs/K6
rFWjehcZQ6ainn3UX7hiCJDTgfTGi2BCG+kYpZ/aQCTrzhsGYU9tSmlycGvaKWjMSEz2ZoE9HqP7
CVRLP5310IbJLvJ1cN1UU4PQMAvR9y7bDeX9idxGLD09bR9nSO+fRjbMtFDOjI7o2gW2w8VbNtuS
rlCz9WBd6pMI9ByitHSMeCG2GQWEAHwcfo38yMDytEY0aE94xRFCTqAHByLyfdQI9dC6BweX4o5H
giJVTZ0HPtrS0BSyYYSo9XYnDEJ6jnInb9+pWgx51EjUM3Q4slgCOKu0yenE4L5BxMRxByHnqBRd
DIvA35B2oChY9Eyy2zY5qWLolIBb3Qi8w5H7W5et7QxGrpdQ2ddgejMy6aLxanL1laPX6KJ2EHDK
8TJ0KJsg1Tz3fJ+3aFPS/Ivvy3TK5xVdymFf9+805fGHpJEzWn0qBdkNX8mV6Ff2mcwrbHXqICOf
IzkGRHppmcBirAOgx8iCRqB+vOUReW7dlopUrg9SmG4sJ2L1whxV2UEDXMZ/H09zBLUvpt5XpRo0
McZsmiaeeQbQ9C4MmqYvxqcGyb/+MoOlAIwbtqw/XmLeoCf7h5LYt5//tr78oM306RzsHxUH/Vab
qffHj77DZvbXT/gXB7K82vf/FrS6pWy+Ijh96ut/O06z39dx6tFkulV6CS8WvxlufgDmovq7vkOG
oC0nlQbwsf7vNShRJkL3ctxWGZavT7v4z2B4n/Mt5OekM26iHz897pfnZ9D+oqU/++Fvjw48ikgA
GhiYyktO94/UrmJzizMzEX4LyBP6+3s2pk/dZc+2hpZuAdaCg7jA6uLf7lNR8rOdKe0NwO9IjiWT
Q2OXsvAW1JabaY90pUPFe/QLi13H4mZHa4UGyFgPN9QV275m6GdHhfhWLDhM5hB5zVgoeEvXONko
vholpdnMloc49j66KYWdTxEiA3YOwszA2CVok0ir6gwg47zTs2j3fTx6eR/S6RLLO0hZhn/QaRuK
OBBXveeAmyWAsNSaBDlf0MK+JpjEUvm299Av4M+DKocBnANv4EU5qARP+Io1tN5TnFp9YHA7Dl17
U49O1nRea7cZiODp5oTD+WBT++DqcJoVuDCVju9IsI1FizDtQRj+3nUX99z4OLig2jZ/t5H0Ft0Z
1+FWzXt0OL8DexDn/ti/nWZ11XocJR8RMJA6RT/VfFyR6RmwTAOlVGeRY8DjdaHBWwwRWdnGm07F
RyNJueE4DgtKpDgDQTcEgm0bId43XRNPZQkwPpvRUugflduMxgrAstniTn2OPf/B1SuCCUjN8QYn
ZgXBQ8jOwmHhuzBxlisvdb8GU3JqRuUcmjDajR5Omujaz4Q92JfR+sxN2ltMq5nnj+iAs72HpIim
j1UVHXRchuqQaJSe2DMa6VoaIcNzlyaI5JmrdLzAGRRZsDi9hYPhCIbjA9XpAZqL8ybCE3TkQCDR
qDrHbVR4Miqk410vONADnb8qm4lGbRBJ3/gxb65jsCM4LAAMMrotyW5rQ9XsoNjU6HSpECwathNb
LR5gKoI2r46ji4SbB4OS/bMaxx5FY+qUsWjyoJnyatAYJCSO2YASsA/Eim6gpN1vafoB33RqnXcM
JPD3T9s6ofFbHXxkM4GMLwWoq7lEXaA4NzDWDkID6ErrdsmbBRoeEpFBphmL33m4Nn0X3y5da/c2
9JL3PWrwCj/ucXHNAepB6iZrhrm+QP3dW4BS1Wdnm97ETuWe4R4ZPs7p7JQ+XR7RDOYdPXQY9cYB
uWNwmotc2MduYzgco0riHEilRpQx5IcoXN54CU5SoGqVe5R3gjd1+SfAcvI0gmLDDpx6he5wjhjH
ia08dxsXh8906AoQJGhyb0LBSdxD3GJgtesIjD3f3P3k9ieHryUopfuJqdsasAEoyBklRt6F46m+
sHRMjvPRLlZ/Po/Ydu7FbD84Eepg3LYI+mQ4pZ07F41qv7JkJtA518dhZSe0xb6VYHYqFPVmNcHQ
Geqg2reJQi1xvBQeB6WgR3aBNpRqp+roDd/U17DBuWe+E6wXgUIRSx1BfatWcLmYE9Y9MuFmny7R
BQnWOZepfx+O7GpY/AKkEkCLirFdHcbpiXkBv0oNCfbO2sKEJmw4xZtBiS53Exxpy0HBr+n7Lo6/
pqHL3mw9QwWjLRLu6YbPBpSotuHb5/XBOO0FpUw/9wZTwW/lfzuD/12dwekTepc4tbj4t3QGDx2/
+G9f8H/7gvdCUVIuDQ5xXqrgjbSxmJAMiBUnzZfV5niCXn1ZEexBShvKtD+KC1CiYIGHDs5547xZ
kaIO0A7J0uaiRUgo4RO2SjY3RBOcvoPCpbd6ptNB2nRREG1NMdWeCzau8m6iftn7Y+uVI4o29pSI
i9gmlQabWQKWiyeYKwHx2kSTh2gT+qP3OIkU8VrxwWWjKCQSUB6SUL2NRC2rOhuRkRJTePJ1hXPM
psK3ASpjo1TahqpaG69abNCKIXG12OjVtBGcB4Qw1mRjWem8fPFtUAu9HTjgQb53bYQLm63t8q+v
T/xtTIBU++MZ483D44N8oDgOaP3tYQOv8vOwgbPyfpwKRFU8wX6f/HT+w/NKJRRnYK6ILfAD/Rzy
9J+SCsSve6FTPKUCgdAHMZoycIQLSjBfKtH/R1OB2DtcTE50Ev8nUoGb2faCsb0Y3dvWPhn+E5OB
NQ68cDt5Ni/9XKR/NyHoozLLD+9ruaFn798bFOQepHyJQBomvEHmMBTdDOmlLl+r7dGxAKUCSdnp
4VO7EZDlFrJEQcW5Y7HLph4+DxbEVNVGMmPhTAFKk1lcc/WnMwf85jY0yHRMogzRGnhBG0Cefh9q
UEEAP5lFQLmFQWdQoYS5ITb6cQsPGbh+ujSXCBaeZOIBxY/AmFPt7E006KwFcRpr6OwgUCuLoqLw
pMppUNX7EIeuFBJ1C6Sp75BJmw+VbWJIbSdD0HSg+4m7a1IMnitO6C0kKhxGZ1RlhXQjqk2Ws//H
3nktt62lafRVpuYeLuQwVdMXJCCKkigrOpwblGzLyDnj6WdtKlhUOvZxV7eq5/DGgRJBbgIbO/zf
WlWbfCCpeuAMzXWelfayFJhGeqQPlH1RyBkGFJ2Di6jl3KsFPyIuE4OUnGBKqBBPC8GZaAVxYhLs
iaBOLiJBo4gEl2I2sLH4LHuTwKUeehT8CszO9tIWTItG0C0KMBeZ4F10Rb5nCQJGljqnnV45LA9w
O7O3oIxKZuJEYVXLxFVwNERRciy4tsRxbbcDdWsJ5m1NDKHtj9N+9JpRiknog8RFU7zM7PoC9/BZ
ZX6pw3I6nwQ2t+msr9w7gdEKpG7RWl8Dv7pMoyJfVgK7awkAr1z55ukkoLzU/JI7hdOrKcl4UQl0
b9Np8deQzRjsiJS/b0qVwKac6oQ5Z3/TSHJzwJ5W6DqS0ayDwMgWSp5+7xPjPa12xgJB48oEcQko
5e/JwMErrdO1nIARKpm/j1sLRQEBsZSHvWoaK1evjKMhYLQBOchfDWDiF6ot+a5R2GdmPVLvbtdQ
DFr9M3iuaxxajRvU+bpFZ42iBeUNoFDmt4J4l5QajBitc1MBrlPnsFqBwovdKDMD6mDm09zSKC4e
phhwaaevdDP3RmJQSB/TL9Ttlwcwi0HvUAk/2DNwkXyOwNJQCa3mmuLamM5ZSyGcWKmcxrK/tn0i
AbKGVEsfeg+L9aEFewkBBAhY8w+EGG4cEGnUkA7yNokploRIFlJjfEoqjU/8zw+9ZlKxH4bWcW62
p7atHtl5fzLO3ZUCSBY0JXNsEXllv8mVhs8i9dqY5aGU18Hi79jrTew1zMPQiyyC91087bEYfxZL
oFvvU6+pEbIvmQB6Tdu9qa725bebetWJ8PlFdlpU1ULznU8/ArCOr67J1p0/CsASeT4ZHXY77S75
LqvvDbs6gZG6+jsTK2zY3hZeetpd19PZddOl7Z2B4FeevMUzXkzl9f/+944A++GewTYnalNkQiBV
BwG3rTJ7eWS/Lcf/r9dSss++4P2OAjvcsGkYsm/11oyi72vzHYgfv6zEFjsKBjxVhb8Ift2v7Clg
f9sZ5AtmiSLQJ5aiEsGFV/+oMLCt48ascrn3fE0/UUI7W9Z1d0o+sPc00yYcBqIAtnG0VxAQc8PA
OqQHPnKK8RwWGYuXJcvJdl5NUBF6QDRG6cH8OpTiflVq+lIfs26BDxp4mDZ9mgDreHnFjZmK3U2R
a4nbN8o3qWLUaGhwzuspXTkE4ZYAp2bXNCYWy6Xhsu8SZsXpqtDTFXpqD9dWvHYSRhuzQONAFNNW
GCC7y7ikfsLM1QQcfLmxbWngTiOksc1i5o1UI1UTskaoXkH5DQIZmh1FJullNIIGqH3NJ8TanFuR
7yyGaSM5zl5Zy4tQOnXq8ENmO6EbFhsD6XBLmpKMGWD2haFxn+vzZGZbgmOMOIacSBbJR4ypUrwB
676sE3vVRfp66GPVM0sCPP4o+Y47svtgDPK4nxvaJ3hzJPC74UNZ9qwq5HiLAM1rXldF7d4gDR+N
1F/rGK4WKjj6JeCzQ6mdN2EobSIrv4j6dL8KzOOpbPYLUrr4y1tAKix8L0ATrrukPCij8pSSEnM5
zZaCqCu7binsYDPoGFL0WWDFG/jY0T4M4D+0NOTWq6C9GKLVRFLPJyLZVpU3m1oNlGw+BjZ4XFrm
fjAyuA26I0QD5IqxqtstZPb6tGEQeMAyfuHqU+Yv856Km8IS6bxMOfQdYXcy+v2oafo1rjqCtybx
/mE2Zhe8LxaBrph5n+nn1i4gPogCF5K15yzyOvwomoEJyzo8An9YRPo4Llm6v6wR5x1LQwDmDTsl
KzWl7kY+HXJp6dlSSe35CKUm6krkUs1CZhfkwA7AjDv2VVRk5BrjMTnXTBAW/agCMflbd/4fqzsn
qAbEHG3rR9iK7ZrwDHVOqv1HQNHdUU3/+2VscMeYgZciqgM6fRyl2UTGs/OeUaEnYfo5YO+r6lKu
TjmO95NO/vJEi55pub5X6nJ72RG/wWpwlTPtCQQuJnecdGFNI2KnaYHp8gyufXw5NxXkZocg864o
XZOOMzR1L7nSg4gUaTXpe2Yf2iRI64N4vM7zsLjYatMdyWGMnYPvV2snWxvOiZphW9fsVa1LgysU
6uYAuiifYB6URAW14gNh3OGHST3A8sT1AxlA6NRRUSyy1t7Ek35oRsqXoEvP42o5SRdbt3ojh/Ap
K/1g61YfWnLZZmcMq58XrJO1djUztdmkeyBYxwS3MLhqoyjWFmZHdZ6WfclK7jWVZh2WZXyaN8Ve
2wqX0Lxks/uHcl2psxO9zYtljxCUFd9zR4FCv9WvD33tKolNoJGJpNCwt2nllvwh09sXjTgVsH2Z
KnFOfHcLIT8XVvaqRWfZHSoPxOxyl3+VsqX8lt3suWRuNErqxkRlMvv/Rc9uJB/qhhGKFWrfimo8
QvlyUuThFX52hWWcJchdW/a9nIkK27Vuj3Qyx08uAuLrLqzPgvj9GAgXCtpbiKVVB8dL3pG3N+MM
/jObQXcFXg3OFizWE3+7E1rNppaD5eAMK11jyQTO4CESuY1Quess9ETpdycGVPSK0V2TJ6FH9GyF
xRnpOwqRdtKAgAgvyo7ePcoRmpIEnBW21wnwitn9vqyU65kRA2TQAfulD+9Liz51deW4epzul6l1
qNxb38eg3Kv8bD57zvweFmy+6lK/lnJ1UzlAmbYGeMpI63Xh1CkLNz71JfMq720DlmL4XYvltf7U
Bp9ZcHtCuadPieLjqhneQ3bdG9MOhoCxQuU7EH1XXAMI1Au6eBD2gevMVr9UlZYBSTqxyibIDFMk
ca6zdGdDv2+QnTbsmUeC5jAKrgPAWtAHEbyJbNBSFjDgPxTDkKzkxrq0SvVTJbXuLFgRYTn3a4MB
iBdUfbtsBFNiTK3Txmo06ppjCXYd5Iki7ykMaMFRAJlmmAyqeVFbwaHaBR4CmGyTN4hN5SjOF7Eg
W7DrZK+gNJ7VfXIoVVS6hFngrxsBxWiIt3hSDSgD8D+j9cgCnrHFaMDTSARYQ1L6HvAaG/c21A25
mMBvCPgEqfNvwLi6j7WAdFBNWzTLVKA7ikTU/0j+ZVFKEKUF4CNKhsSjkvW0gf3hFAISJqpcQMMc
Rrq5dPS4X5oCGaJHSDabFlYtTQtSpNvCRQRmRA/ygJOnHhYxDJJawEj8LZYE1rAsQCWBYx6pmt8e
4MQBdGt07f4M1yRzNMOt7ekPuQNRJgcQsdu4WthV/NmGisLXtLEFJqUP5mnZQE4JBUIljoqaRU1b
W+ldpR5WArViZlG1n/jhZhAYlkTK8v1UoFkaVp5cS0I2p020FqtVtQMOq/RT1h6VsjoWjrge1lit
VuY5VRPTOdC3I2rFSy+hoz8qIzVaoX3vvkM4OY6L+kCGz8c3Mial16Z4XpLZfP+fv18mpsM2lW9M
bQl6sIEliE9/Nr/+eP1yiOTZF7zfRDNgXFHUqxJ831Jo76fX/JojO0QoLFXdmuBu+bQE3LFGQYpT
EbApWxPo3R6a9Q7/oUa5u8Omn2NTYne3DHFykyxtHv37oSj9mdCdg5yXwAr8e1NRH82t55jONFC1
1qsRbxxAmM33FOAwBwNsmj/JXT+tKVbAVTJ9R/uokdx/lJ3sO1+ZiME13mAZwXJW4SkjCwncB9/L
7Qd8+IGeBNBZLCDuJZi/GpMf7VE4rx+d2mqjsvVmSYuXrOhOi5qTALh2ANbSlrzXD6c8TbzzNdFy
fIcoMYiUP8ridAO8mgD8jdcZcdgcB6TfuKeK1XcfbzTDLy20T/oiu+pSo9IWYZ5Pl8GnxrL9k3q0
qeaaI0360BDW2OPz6AdabqEdm6r5Q272xkUVWayYm0NmwhCEeH/SNmXPzv/A2G7RdizV7yXDYHXL
itI8+vmg4CUtk0LEpQW5fKEl2lExThR3DYEuq8utHW3sqEL22Ihx5IVkaoqxiBsr/ir7OrEHNQt1
czHJtQopUxlDZWGbU3uOUY1fT5UmnpeBBTsSkEzZEmUoWJthkaUvWDyXg15dEg5n8mv1uN5AwajF
CQrq6Cgck6xxAc98dMhzmC4loNQXSnIrN165jbQpqZQeNIYTgRKmp5K9PECqFuER4M4FesqVwi7/
bqfG9DHqmrb21LKilpQcJJV3soKsIAdhUpXY2dGRB0gLHOj50VQPh7omze8TZbITl2hMDClsnJDw
TI6ERAEDjci1tFd6WhrKco5TAiz+nNXfUW9bjtukZXoemSMvO5YVyyNhHM7xvhW21Z6RTFPq0btM
BXdoSdLYh7HjCSpzX+XYC5TgtNZbazzRJ9XpP82d5mAxV/yUcky1UICvaZ2ORafECZ90ZtaDLHdM
VoiSyNoIIeTMCdFbpluhPfgs0jrqSuIGEO+1VW7MK7q4WluiATba5dvp1W/N088um973XuLZkwJU
2EXxZOH1p37orht8/oVeXoelD/xRfy36dUveqqoE4fgZjfT2PW4XhV99yfSqjdruG4u+Ji5PWae/
JTy1fVAYnhY5U97t0yQMuU+gDwGtvH3cpE4etNlLrfL6B366ZP30dXY+wdeiy1ux1B2wf/iwTXRa
aOde+UITPHqBHy1gvSM+yGLu3SeU6TR3W8BSSFJqKr07B/rXf/Sddfmd8+EmLKrZ6MR+rhEev9TD
VqA0RlFJUd58z4RCH7WCCZKSRrg7T95uYwg3zc+cES83ho2Hjd0OXfRp2wetvntKgEbBxobhbftg
dPFWzwzjcdDjhcvj5caAq44IWAN5/vyZgbiITkl1LPXm+ZtT8W1eJjdf1Nfxf4Lr4r4n/rXuEq0S
IyzNvD0zSGk/ODMIzAl8rAxu/qYxbjqnN9kYxm83hvWO2YKBBAA9+vaxe5ls04PMF/Cy3TbW271M
BDfj9/oM4eKymLjA7L157J4Z3EhFTJ8+Q755+t91I318of8YXdzfTYzH08+/0Geo7JBScnl7GTy+
myjvIBwD29boWcTjDd9an9hhfrkxcLjolg3p0749M54MschoMcSSb/uUG3bEW+oznlV1/N7lYr4z
2TpGnnFzAmCa3+lIhfSOXhRx4u0Z9AtnyE+03P2QfYnH7dt2RB9dNw+KKf70B+6Gt09f4MF4nbHp
zs+JOoubV7656sS//7FzQW6Hlw+evBtubg9z++u3n+/pkXeOdfeh7v5zP7qur+qv4bR9Yrp9l8dX
GZOAXwAobqtOxBt5Ui9yfz68diTvp9Env3mgnwzA/+ZRXityuSfJ//g6/1qbvbbSd1dqL2Axv/lZ
fib0+5uH+KWa/9881l+tQvqnHPa1r+z5xdlXD/vcFX8/E33aD9xNrp/7td0+TvzE1/T6qv7H/wEA
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327027</xdr:colOff>
      <xdr:row>1</xdr:row>
      <xdr:rowOff>142875</xdr:rowOff>
    </xdr:from>
    <xdr:to>
      <xdr:col>8</xdr:col>
      <xdr:colOff>116159</xdr:colOff>
      <xdr:row>16</xdr:row>
      <xdr:rowOff>123825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231</xdr:colOff>
      <xdr:row>22</xdr:row>
      <xdr:rowOff>152400</xdr:rowOff>
    </xdr:from>
    <xdr:to>
      <xdr:col>14</xdr:col>
      <xdr:colOff>154878</xdr:colOff>
      <xdr:row>40</xdr:row>
      <xdr:rowOff>123825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262591</xdr:colOff>
      <xdr:row>48</xdr:row>
      <xdr:rowOff>156135</xdr:rowOff>
    </xdr:from>
    <xdr:to>
      <xdr:col>10</xdr:col>
      <xdr:colOff>278782</xdr:colOff>
      <xdr:row>63</xdr:row>
      <xdr:rowOff>97865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707018</xdr:colOff>
      <xdr:row>103</xdr:row>
      <xdr:rowOff>131646</xdr:rowOff>
    </xdr:from>
    <xdr:to>
      <xdr:col>6</xdr:col>
      <xdr:colOff>1982437</xdr:colOff>
      <xdr:row>120</xdr:row>
      <xdr:rowOff>155807</xdr:rowOff>
    </xdr:to>
    <mc:AlternateContent xmlns:mc="http://schemas.openxmlformats.org/markup-compatibility/2006">
      <mc:Choice xmlns:cx4="http://schemas.microsoft.com/office/drawing/2016/5/10/chartex" xmlns="" Requires="cx4">
        <xdr:graphicFrame macro="">
          <xdr:nvGraphicFramePr>
            <xdr:cNvPr id="6" name="Chart 5">
              <a:extLst>
                <a:ext uri="{FF2B5EF4-FFF2-40B4-BE49-F238E27FC236}">
                  <a16:creationId xmlns:a16="http://schemas.microsoft.com/office/drawing/2014/main" id="{263EC976-077E-4F4B-8A62-E6C227724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5" name="Rectangle 4">
              <a:extLst>
                <a:ext uri="{FF2B5EF4-FFF2-40B4-BE49-F238E27FC236}">
                  <a16:creationId xmlns:a16="http://schemas.microsoft.com/office/drawing/2014/main" id="{00000000-0008-0000-0200-000005000000}"/>
                </a:ext>
              </a:extLst>
            </xdr:cNvPr>
            <xdr:cNvSpPr>
              <a:spLocks noTextEdit="1"/>
            </xdr:cNvSpPr>
          </xdr:nvSpPr>
          <xdr:spPr>
            <a:xfrm>
              <a:off x="2815218" y="19099096"/>
              <a:ext cx="4088469" cy="31547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110266</xdr:colOff>
      <xdr:row>6</xdr:row>
      <xdr:rowOff>5428</xdr:rowOff>
    </xdr:from>
    <xdr:to>
      <xdr:col>14</xdr:col>
      <xdr:colOff>4239</xdr:colOff>
      <xdr:row>20</xdr:row>
      <xdr:rowOff>152773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108272</xdr:colOff>
      <xdr:row>20</xdr:row>
      <xdr:rowOff>169699</xdr:rowOff>
    </xdr:from>
    <xdr:to>
      <xdr:col>14</xdr:col>
      <xdr:colOff>9027</xdr:colOff>
      <xdr:row>38</xdr:row>
      <xdr:rowOff>104155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111350</xdr:colOff>
      <xdr:row>38</xdr:row>
      <xdr:rowOff>91368</xdr:rowOff>
    </xdr:from>
    <xdr:to>
      <xdr:col>14</xdr:col>
      <xdr:colOff>8994</xdr:colOff>
      <xdr:row>55</xdr:row>
      <xdr:rowOff>150091</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50</xdr:row>
      <xdr:rowOff>93183</xdr:rowOff>
    </xdr:from>
    <xdr:to>
      <xdr:col>4</xdr:col>
      <xdr:colOff>111760</xdr:colOff>
      <xdr:row>55</xdr:row>
      <xdr:rowOff>148829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9527469"/>
              <a:ext cx="2561046" cy="962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121862</xdr:rowOff>
    </xdr:from>
    <xdr:to>
      <xdr:col>4</xdr:col>
      <xdr:colOff>116009</xdr:colOff>
      <xdr:row>50</xdr:row>
      <xdr:rowOff>79375</xdr:rowOff>
    </xdr:to>
    <mc:AlternateContent xmlns:mc="http://schemas.openxmlformats.org/markup-compatibility/2006" xmlns:a14="http://schemas.microsoft.com/office/drawing/2010/main">
      <mc:Choice Requires="a14">
        <xdr:graphicFrame macro="">
          <xdr:nvGraphicFramePr>
            <xdr:cNvPr id="7" name="Education Level">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0" y="8104719"/>
              <a:ext cx="2565295" cy="1408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87954</xdr:rowOff>
    </xdr:from>
    <xdr:to>
      <xdr:col>4</xdr:col>
      <xdr:colOff>110153</xdr:colOff>
      <xdr:row>42</xdr:row>
      <xdr:rowOff>109141</xdr:rowOff>
    </xdr:to>
    <mc:AlternateContent xmlns:mc="http://schemas.openxmlformats.org/markup-compatibility/2006" xmlns:a14="http://schemas.microsoft.com/office/drawing/2010/main">
      <mc:Choice Requires="a14">
        <xdr:graphicFrame macro="">
          <xdr:nvGraphicFramePr>
            <xdr:cNvPr id="8" name="Trust Level (Very Low-Very High)">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Trust Level (Very Low-Very High)"/>
            </a:graphicData>
          </a:graphic>
        </xdr:graphicFrame>
      </mc:Choice>
      <mc:Fallback xmlns="">
        <xdr:sp macro="" textlink="">
          <xdr:nvSpPr>
            <xdr:cNvPr id="0" name=""/>
            <xdr:cNvSpPr>
              <a:spLocks noTextEdit="1"/>
            </xdr:cNvSpPr>
          </xdr:nvSpPr>
          <xdr:spPr>
            <a:xfrm>
              <a:off x="0" y="6437954"/>
              <a:ext cx="2559439" cy="1654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34051</xdr:rowOff>
    </xdr:from>
    <xdr:to>
      <xdr:col>4</xdr:col>
      <xdr:colOff>116075</xdr:colOff>
      <xdr:row>33</xdr:row>
      <xdr:rowOff>69453</xdr:rowOff>
    </xdr:to>
    <mc:AlternateContent xmlns:mc="http://schemas.openxmlformats.org/markup-compatibility/2006" xmlns:a14="http://schemas.microsoft.com/office/drawing/2010/main">
      <mc:Choice Requires="a14">
        <xdr:graphicFrame macro="">
          <xdr:nvGraphicFramePr>
            <xdr:cNvPr id="9" name="Privacy Concern (Very Low-Very High)">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Privacy Concern (Very Low-Very High)"/>
            </a:graphicData>
          </a:graphic>
        </xdr:graphicFrame>
      </mc:Choice>
      <mc:Fallback xmlns="">
        <xdr:sp macro="" textlink="">
          <xdr:nvSpPr>
            <xdr:cNvPr id="0" name=""/>
            <xdr:cNvSpPr>
              <a:spLocks noTextEdit="1"/>
            </xdr:cNvSpPr>
          </xdr:nvSpPr>
          <xdr:spPr>
            <a:xfrm>
              <a:off x="0" y="4751194"/>
              <a:ext cx="2565361" cy="1668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2077</xdr:rowOff>
    </xdr:from>
    <xdr:to>
      <xdr:col>4</xdr:col>
      <xdr:colOff>117337</xdr:colOff>
      <xdr:row>24</xdr:row>
      <xdr:rowOff>29765</xdr:rowOff>
    </xdr:to>
    <mc:AlternateContent xmlns:mc="http://schemas.openxmlformats.org/markup-compatibility/2006" xmlns:a14="http://schemas.microsoft.com/office/drawing/2010/main">
      <mc:Choice Requires="a14">
        <xdr:graphicFrame macro="">
          <xdr:nvGraphicFramePr>
            <xdr:cNvPr id="10" name="App Usability ">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App Usability "/>
            </a:graphicData>
          </a:graphic>
        </xdr:graphicFrame>
      </mc:Choice>
      <mc:Fallback xmlns="">
        <xdr:sp macro="" textlink="">
          <xdr:nvSpPr>
            <xdr:cNvPr id="0" name=""/>
            <xdr:cNvSpPr>
              <a:spLocks noTextEdit="1"/>
            </xdr:cNvSpPr>
          </xdr:nvSpPr>
          <xdr:spPr>
            <a:xfrm>
              <a:off x="0" y="3086363"/>
              <a:ext cx="2566623" cy="1660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3974</xdr:colOff>
      <xdr:row>6</xdr:row>
      <xdr:rowOff>5108</xdr:rowOff>
    </xdr:from>
    <xdr:to>
      <xdr:col>4</xdr:col>
      <xdr:colOff>106723</xdr:colOff>
      <xdr:row>14</xdr:row>
      <xdr:rowOff>178594</xdr:rowOff>
    </xdr:to>
    <mc:AlternateContent xmlns:mc="http://schemas.openxmlformats.org/markup-compatibility/2006" xmlns:a14="http://schemas.microsoft.com/office/drawing/2010/main">
      <mc:Choice Requires="a14">
        <xdr:graphicFrame macro="">
          <xdr:nvGraphicFramePr>
            <xdr:cNvPr id="11" name="Awareness Level (Very Low-Very High)">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Awareness Level (Very Low-Very High)"/>
            </a:graphicData>
          </a:graphic>
        </xdr:graphicFrame>
      </mc:Choice>
      <mc:Fallback xmlns="">
        <xdr:sp macro="" textlink="">
          <xdr:nvSpPr>
            <xdr:cNvPr id="0" name=""/>
            <xdr:cNvSpPr>
              <a:spLocks noTextEdit="1"/>
            </xdr:cNvSpPr>
          </xdr:nvSpPr>
          <xdr:spPr>
            <a:xfrm>
              <a:off x="3974" y="1456537"/>
              <a:ext cx="2552035" cy="1624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87.547509606484" createdVersion="6" refreshedVersion="6" minRefreshableVersion="3" recordCount="275" xr:uid="{E1A1D6AA-C165-4702-A805-C86A38B68DC2}">
  <cacheSource type="worksheet">
    <worksheetSource ref="A1:M276" sheet="Working sheet"/>
  </cacheSource>
  <cacheFields count="13">
    <cacheField name="Age" numFmtId="0">
      <sharedItems containsSemiMixedTypes="0" containsString="0" containsNumber="1" containsInteger="1" minValue="18" maxValue="60"/>
    </cacheField>
    <cacheField name="Age_Group" numFmtId="0">
      <sharedItems count="4">
        <s v="Young Adults"/>
        <s v="Adults"/>
        <s v="Young"/>
        <s v="Seniors"/>
      </sharedItems>
    </cacheField>
    <cacheField name="Gender" numFmtId="0">
      <sharedItems count="2">
        <s v="Female"/>
        <s v="Male"/>
      </sharedItems>
    </cacheField>
    <cacheField name="Education Level" numFmtId="0">
      <sharedItems count="4">
        <s v="Bachelor"/>
        <s v="Diploma"/>
        <s v="Master"/>
        <s v="High School"/>
      </sharedItems>
    </cacheField>
    <cacheField name="Income Level" numFmtId="0">
      <sharedItems count="3">
        <s v="High"/>
        <s v="Medium"/>
        <s v="Low"/>
      </sharedItems>
    </cacheField>
    <cacheField name="District" numFmtId="0">
      <sharedItems count="12">
        <s v="Badulla"/>
        <s v="Colombo"/>
        <s v="Jaffna"/>
        <s v="Galle"/>
        <s v="Matara"/>
        <s v="Ratnapura"/>
        <s v="Trincomalee"/>
        <s v="Anuradhapura"/>
        <s v="Kurunegala"/>
        <s v="Gampaha"/>
        <s v="Hambantota"/>
        <s v="Kandy"/>
      </sharedItems>
    </cacheField>
    <cacheField name="Device Type" numFmtId="0">
      <sharedItems count="3">
        <s v="Smartphone"/>
        <s v="Feature Phone"/>
        <s v="No Phone"/>
      </sharedItems>
    </cacheField>
    <cacheField name="Bank Type" numFmtId="0">
      <sharedItems count="3">
        <s v="None"/>
        <s v="Government Bank"/>
        <s v="Private Bank"/>
      </sharedItems>
    </cacheField>
    <cacheField name="Trust Level (Very Low-Very High)" numFmtId="0">
      <sharedItems count="5">
        <s v="Mid"/>
        <s v="High"/>
        <s v="Low"/>
        <s v="Very High"/>
        <s v="Very Low"/>
      </sharedItems>
    </cacheField>
    <cacheField name="Privacy Concern (Very Low-Very High)" numFmtId="0">
      <sharedItems count="5">
        <s v="Very High"/>
        <s v="Low"/>
        <s v="Very Low"/>
        <s v="Mid"/>
        <s v="High"/>
      </sharedItems>
    </cacheField>
    <cacheField name="App Usability (Very Low-Very High)" numFmtId="0">
      <sharedItems count="5">
        <s v="Very High"/>
        <s v="Mid"/>
        <s v="High"/>
        <s v="Very Low"/>
        <s v="Low"/>
      </sharedItems>
    </cacheField>
    <cacheField name="Awareness Level (Very Low-Very High)" numFmtId="0">
      <sharedItems count="5">
        <s v="Very Low"/>
        <s v="High"/>
        <s v="Mid"/>
        <s v="Very High"/>
        <s v="Low"/>
      </sharedItems>
    </cacheField>
    <cacheField name="Uses Mobile Banking?" numFmtId="0">
      <sharedItems count="2">
        <s v="No"/>
        <s v="Yes"/>
      </sharedItems>
    </cacheField>
  </cacheFields>
  <extLst>
    <ext xmlns:x14="http://schemas.microsoft.com/office/spreadsheetml/2009/9/main" uri="{725AE2AE-9491-48be-B2B4-4EB974FC3084}">
      <x14:pivotCacheDefinition pivotCacheId="640412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
  <r>
    <n v="22"/>
    <x v="0"/>
    <x v="0"/>
    <x v="0"/>
    <x v="0"/>
    <x v="0"/>
    <x v="0"/>
    <x v="0"/>
    <x v="0"/>
    <x v="0"/>
    <x v="0"/>
    <x v="0"/>
    <x v="0"/>
  </r>
  <r>
    <n v="25"/>
    <x v="0"/>
    <x v="0"/>
    <x v="0"/>
    <x v="1"/>
    <x v="1"/>
    <x v="0"/>
    <x v="1"/>
    <x v="0"/>
    <x v="1"/>
    <x v="1"/>
    <x v="1"/>
    <x v="1"/>
  </r>
  <r>
    <n v="25"/>
    <x v="0"/>
    <x v="0"/>
    <x v="1"/>
    <x v="1"/>
    <x v="2"/>
    <x v="0"/>
    <x v="1"/>
    <x v="1"/>
    <x v="2"/>
    <x v="2"/>
    <x v="2"/>
    <x v="1"/>
  </r>
  <r>
    <n v="25"/>
    <x v="0"/>
    <x v="1"/>
    <x v="2"/>
    <x v="2"/>
    <x v="3"/>
    <x v="0"/>
    <x v="0"/>
    <x v="0"/>
    <x v="2"/>
    <x v="3"/>
    <x v="3"/>
    <x v="0"/>
  </r>
  <r>
    <n v="45"/>
    <x v="1"/>
    <x v="0"/>
    <x v="1"/>
    <x v="1"/>
    <x v="4"/>
    <x v="0"/>
    <x v="1"/>
    <x v="0"/>
    <x v="2"/>
    <x v="2"/>
    <x v="4"/>
    <x v="1"/>
  </r>
  <r>
    <n v="35"/>
    <x v="1"/>
    <x v="1"/>
    <x v="1"/>
    <x v="0"/>
    <x v="2"/>
    <x v="0"/>
    <x v="2"/>
    <x v="1"/>
    <x v="3"/>
    <x v="2"/>
    <x v="1"/>
    <x v="1"/>
  </r>
  <r>
    <n v="22"/>
    <x v="0"/>
    <x v="1"/>
    <x v="1"/>
    <x v="1"/>
    <x v="5"/>
    <x v="0"/>
    <x v="2"/>
    <x v="1"/>
    <x v="4"/>
    <x v="0"/>
    <x v="1"/>
    <x v="0"/>
  </r>
  <r>
    <n v="18"/>
    <x v="2"/>
    <x v="1"/>
    <x v="0"/>
    <x v="2"/>
    <x v="6"/>
    <x v="0"/>
    <x v="1"/>
    <x v="0"/>
    <x v="2"/>
    <x v="2"/>
    <x v="2"/>
    <x v="1"/>
  </r>
  <r>
    <n v="18"/>
    <x v="2"/>
    <x v="0"/>
    <x v="1"/>
    <x v="1"/>
    <x v="7"/>
    <x v="0"/>
    <x v="1"/>
    <x v="2"/>
    <x v="4"/>
    <x v="2"/>
    <x v="1"/>
    <x v="0"/>
  </r>
  <r>
    <n v="40"/>
    <x v="1"/>
    <x v="1"/>
    <x v="3"/>
    <x v="0"/>
    <x v="3"/>
    <x v="0"/>
    <x v="2"/>
    <x v="1"/>
    <x v="4"/>
    <x v="1"/>
    <x v="1"/>
    <x v="0"/>
  </r>
  <r>
    <n v="30"/>
    <x v="0"/>
    <x v="0"/>
    <x v="0"/>
    <x v="0"/>
    <x v="8"/>
    <x v="0"/>
    <x v="1"/>
    <x v="3"/>
    <x v="4"/>
    <x v="1"/>
    <x v="0"/>
    <x v="0"/>
  </r>
  <r>
    <n v="50"/>
    <x v="1"/>
    <x v="1"/>
    <x v="2"/>
    <x v="1"/>
    <x v="6"/>
    <x v="0"/>
    <x v="2"/>
    <x v="3"/>
    <x v="4"/>
    <x v="2"/>
    <x v="4"/>
    <x v="0"/>
  </r>
  <r>
    <n v="25"/>
    <x v="0"/>
    <x v="0"/>
    <x v="2"/>
    <x v="2"/>
    <x v="9"/>
    <x v="0"/>
    <x v="1"/>
    <x v="1"/>
    <x v="2"/>
    <x v="3"/>
    <x v="1"/>
    <x v="0"/>
  </r>
  <r>
    <n v="18"/>
    <x v="2"/>
    <x v="0"/>
    <x v="3"/>
    <x v="2"/>
    <x v="2"/>
    <x v="0"/>
    <x v="2"/>
    <x v="1"/>
    <x v="4"/>
    <x v="3"/>
    <x v="4"/>
    <x v="0"/>
  </r>
  <r>
    <n v="45"/>
    <x v="1"/>
    <x v="1"/>
    <x v="1"/>
    <x v="0"/>
    <x v="10"/>
    <x v="0"/>
    <x v="0"/>
    <x v="1"/>
    <x v="3"/>
    <x v="4"/>
    <x v="4"/>
    <x v="0"/>
  </r>
  <r>
    <n v="60"/>
    <x v="3"/>
    <x v="0"/>
    <x v="2"/>
    <x v="1"/>
    <x v="11"/>
    <x v="0"/>
    <x v="2"/>
    <x v="2"/>
    <x v="0"/>
    <x v="2"/>
    <x v="3"/>
    <x v="0"/>
  </r>
  <r>
    <n v="25"/>
    <x v="0"/>
    <x v="0"/>
    <x v="0"/>
    <x v="2"/>
    <x v="9"/>
    <x v="0"/>
    <x v="2"/>
    <x v="3"/>
    <x v="4"/>
    <x v="2"/>
    <x v="4"/>
    <x v="0"/>
  </r>
  <r>
    <n v="45"/>
    <x v="1"/>
    <x v="1"/>
    <x v="2"/>
    <x v="1"/>
    <x v="1"/>
    <x v="0"/>
    <x v="1"/>
    <x v="4"/>
    <x v="3"/>
    <x v="4"/>
    <x v="0"/>
    <x v="0"/>
  </r>
  <r>
    <n v="40"/>
    <x v="1"/>
    <x v="0"/>
    <x v="2"/>
    <x v="0"/>
    <x v="1"/>
    <x v="0"/>
    <x v="2"/>
    <x v="0"/>
    <x v="1"/>
    <x v="1"/>
    <x v="1"/>
    <x v="1"/>
  </r>
  <r>
    <n v="40"/>
    <x v="1"/>
    <x v="1"/>
    <x v="0"/>
    <x v="1"/>
    <x v="5"/>
    <x v="0"/>
    <x v="0"/>
    <x v="1"/>
    <x v="1"/>
    <x v="3"/>
    <x v="4"/>
    <x v="0"/>
  </r>
  <r>
    <n v="25"/>
    <x v="0"/>
    <x v="1"/>
    <x v="2"/>
    <x v="2"/>
    <x v="9"/>
    <x v="1"/>
    <x v="2"/>
    <x v="2"/>
    <x v="3"/>
    <x v="4"/>
    <x v="0"/>
    <x v="0"/>
  </r>
  <r>
    <n v="45"/>
    <x v="1"/>
    <x v="0"/>
    <x v="3"/>
    <x v="1"/>
    <x v="8"/>
    <x v="0"/>
    <x v="1"/>
    <x v="1"/>
    <x v="3"/>
    <x v="0"/>
    <x v="0"/>
    <x v="1"/>
  </r>
  <r>
    <n v="18"/>
    <x v="2"/>
    <x v="1"/>
    <x v="1"/>
    <x v="1"/>
    <x v="3"/>
    <x v="0"/>
    <x v="1"/>
    <x v="3"/>
    <x v="1"/>
    <x v="3"/>
    <x v="2"/>
    <x v="0"/>
  </r>
  <r>
    <n v="45"/>
    <x v="1"/>
    <x v="0"/>
    <x v="0"/>
    <x v="1"/>
    <x v="1"/>
    <x v="0"/>
    <x v="1"/>
    <x v="1"/>
    <x v="2"/>
    <x v="0"/>
    <x v="2"/>
    <x v="1"/>
  </r>
  <r>
    <n v="40"/>
    <x v="1"/>
    <x v="1"/>
    <x v="3"/>
    <x v="2"/>
    <x v="11"/>
    <x v="0"/>
    <x v="2"/>
    <x v="2"/>
    <x v="4"/>
    <x v="0"/>
    <x v="2"/>
    <x v="0"/>
  </r>
  <r>
    <n v="35"/>
    <x v="1"/>
    <x v="0"/>
    <x v="0"/>
    <x v="0"/>
    <x v="3"/>
    <x v="0"/>
    <x v="2"/>
    <x v="3"/>
    <x v="4"/>
    <x v="2"/>
    <x v="1"/>
    <x v="0"/>
  </r>
  <r>
    <n v="45"/>
    <x v="1"/>
    <x v="0"/>
    <x v="0"/>
    <x v="1"/>
    <x v="4"/>
    <x v="1"/>
    <x v="1"/>
    <x v="0"/>
    <x v="1"/>
    <x v="4"/>
    <x v="2"/>
    <x v="0"/>
  </r>
  <r>
    <n v="30"/>
    <x v="0"/>
    <x v="1"/>
    <x v="3"/>
    <x v="2"/>
    <x v="0"/>
    <x v="0"/>
    <x v="2"/>
    <x v="0"/>
    <x v="2"/>
    <x v="0"/>
    <x v="1"/>
    <x v="1"/>
  </r>
  <r>
    <n v="25"/>
    <x v="0"/>
    <x v="0"/>
    <x v="0"/>
    <x v="0"/>
    <x v="0"/>
    <x v="0"/>
    <x v="1"/>
    <x v="2"/>
    <x v="3"/>
    <x v="2"/>
    <x v="1"/>
    <x v="0"/>
  </r>
  <r>
    <n v="55"/>
    <x v="3"/>
    <x v="1"/>
    <x v="0"/>
    <x v="2"/>
    <x v="11"/>
    <x v="0"/>
    <x v="1"/>
    <x v="2"/>
    <x v="0"/>
    <x v="0"/>
    <x v="0"/>
    <x v="0"/>
  </r>
  <r>
    <n v="18"/>
    <x v="2"/>
    <x v="0"/>
    <x v="0"/>
    <x v="0"/>
    <x v="2"/>
    <x v="0"/>
    <x v="1"/>
    <x v="0"/>
    <x v="2"/>
    <x v="0"/>
    <x v="0"/>
    <x v="1"/>
  </r>
  <r>
    <n v="30"/>
    <x v="0"/>
    <x v="0"/>
    <x v="0"/>
    <x v="0"/>
    <x v="4"/>
    <x v="0"/>
    <x v="2"/>
    <x v="3"/>
    <x v="1"/>
    <x v="2"/>
    <x v="0"/>
    <x v="1"/>
  </r>
  <r>
    <n v="40"/>
    <x v="1"/>
    <x v="1"/>
    <x v="0"/>
    <x v="2"/>
    <x v="1"/>
    <x v="1"/>
    <x v="1"/>
    <x v="4"/>
    <x v="0"/>
    <x v="1"/>
    <x v="2"/>
    <x v="0"/>
  </r>
  <r>
    <n v="25"/>
    <x v="0"/>
    <x v="1"/>
    <x v="3"/>
    <x v="2"/>
    <x v="9"/>
    <x v="0"/>
    <x v="1"/>
    <x v="3"/>
    <x v="2"/>
    <x v="4"/>
    <x v="1"/>
    <x v="0"/>
  </r>
  <r>
    <n v="22"/>
    <x v="0"/>
    <x v="0"/>
    <x v="0"/>
    <x v="0"/>
    <x v="9"/>
    <x v="1"/>
    <x v="2"/>
    <x v="0"/>
    <x v="3"/>
    <x v="1"/>
    <x v="1"/>
    <x v="0"/>
  </r>
  <r>
    <n v="45"/>
    <x v="1"/>
    <x v="0"/>
    <x v="2"/>
    <x v="1"/>
    <x v="7"/>
    <x v="0"/>
    <x v="2"/>
    <x v="1"/>
    <x v="2"/>
    <x v="0"/>
    <x v="4"/>
    <x v="1"/>
  </r>
  <r>
    <n v="50"/>
    <x v="1"/>
    <x v="1"/>
    <x v="1"/>
    <x v="1"/>
    <x v="4"/>
    <x v="0"/>
    <x v="2"/>
    <x v="0"/>
    <x v="2"/>
    <x v="1"/>
    <x v="4"/>
    <x v="1"/>
  </r>
  <r>
    <n v="45"/>
    <x v="1"/>
    <x v="1"/>
    <x v="2"/>
    <x v="2"/>
    <x v="8"/>
    <x v="0"/>
    <x v="2"/>
    <x v="3"/>
    <x v="1"/>
    <x v="3"/>
    <x v="2"/>
    <x v="0"/>
  </r>
  <r>
    <n v="18"/>
    <x v="2"/>
    <x v="1"/>
    <x v="2"/>
    <x v="2"/>
    <x v="9"/>
    <x v="0"/>
    <x v="1"/>
    <x v="1"/>
    <x v="1"/>
    <x v="0"/>
    <x v="4"/>
    <x v="1"/>
  </r>
  <r>
    <n v="25"/>
    <x v="0"/>
    <x v="1"/>
    <x v="0"/>
    <x v="0"/>
    <x v="6"/>
    <x v="0"/>
    <x v="2"/>
    <x v="1"/>
    <x v="3"/>
    <x v="0"/>
    <x v="1"/>
    <x v="1"/>
  </r>
  <r>
    <n v="22"/>
    <x v="0"/>
    <x v="1"/>
    <x v="2"/>
    <x v="2"/>
    <x v="1"/>
    <x v="0"/>
    <x v="1"/>
    <x v="1"/>
    <x v="2"/>
    <x v="0"/>
    <x v="3"/>
    <x v="1"/>
  </r>
  <r>
    <n v="35"/>
    <x v="1"/>
    <x v="1"/>
    <x v="2"/>
    <x v="1"/>
    <x v="1"/>
    <x v="0"/>
    <x v="0"/>
    <x v="0"/>
    <x v="3"/>
    <x v="2"/>
    <x v="4"/>
    <x v="0"/>
  </r>
  <r>
    <n v="35"/>
    <x v="1"/>
    <x v="0"/>
    <x v="1"/>
    <x v="1"/>
    <x v="1"/>
    <x v="2"/>
    <x v="1"/>
    <x v="2"/>
    <x v="0"/>
    <x v="4"/>
    <x v="1"/>
    <x v="0"/>
  </r>
  <r>
    <n v="25"/>
    <x v="0"/>
    <x v="1"/>
    <x v="1"/>
    <x v="1"/>
    <x v="11"/>
    <x v="0"/>
    <x v="2"/>
    <x v="2"/>
    <x v="3"/>
    <x v="2"/>
    <x v="1"/>
    <x v="0"/>
  </r>
  <r>
    <n v="18"/>
    <x v="2"/>
    <x v="1"/>
    <x v="0"/>
    <x v="1"/>
    <x v="9"/>
    <x v="0"/>
    <x v="0"/>
    <x v="3"/>
    <x v="2"/>
    <x v="2"/>
    <x v="4"/>
    <x v="0"/>
  </r>
  <r>
    <n v="40"/>
    <x v="1"/>
    <x v="0"/>
    <x v="0"/>
    <x v="0"/>
    <x v="3"/>
    <x v="0"/>
    <x v="1"/>
    <x v="1"/>
    <x v="2"/>
    <x v="2"/>
    <x v="2"/>
    <x v="1"/>
  </r>
  <r>
    <n v="40"/>
    <x v="1"/>
    <x v="1"/>
    <x v="2"/>
    <x v="0"/>
    <x v="11"/>
    <x v="0"/>
    <x v="2"/>
    <x v="3"/>
    <x v="4"/>
    <x v="1"/>
    <x v="3"/>
    <x v="0"/>
  </r>
  <r>
    <n v="45"/>
    <x v="1"/>
    <x v="0"/>
    <x v="2"/>
    <x v="1"/>
    <x v="9"/>
    <x v="0"/>
    <x v="2"/>
    <x v="2"/>
    <x v="0"/>
    <x v="3"/>
    <x v="2"/>
    <x v="0"/>
  </r>
  <r>
    <n v="45"/>
    <x v="1"/>
    <x v="1"/>
    <x v="2"/>
    <x v="1"/>
    <x v="1"/>
    <x v="0"/>
    <x v="1"/>
    <x v="4"/>
    <x v="4"/>
    <x v="1"/>
    <x v="1"/>
    <x v="0"/>
  </r>
  <r>
    <n v="22"/>
    <x v="0"/>
    <x v="1"/>
    <x v="1"/>
    <x v="0"/>
    <x v="11"/>
    <x v="1"/>
    <x v="2"/>
    <x v="0"/>
    <x v="0"/>
    <x v="1"/>
    <x v="3"/>
    <x v="0"/>
  </r>
  <r>
    <n v="22"/>
    <x v="0"/>
    <x v="1"/>
    <x v="0"/>
    <x v="1"/>
    <x v="0"/>
    <x v="0"/>
    <x v="1"/>
    <x v="3"/>
    <x v="1"/>
    <x v="1"/>
    <x v="2"/>
    <x v="1"/>
  </r>
  <r>
    <n v="55"/>
    <x v="3"/>
    <x v="0"/>
    <x v="1"/>
    <x v="0"/>
    <x v="3"/>
    <x v="2"/>
    <x v="1"/>
    <x v="4"/>
    <x v="3"/>
    <x v="1"/>
    <x v="1"/>
    <x v="0"/>
  </r>
  <r>
    <n v="18"/>
    <x v="2"/>
    <x v="1"/>
    <x v="2"/>
    <x v="2"/>
    <x v="1"/>
    <x v="0"/>
    <x v="2"/>
    <x v="0"/>
    <x v="1"/>
    <x v="2"/>
    <x v="4"/>
    <x v="1"/>
  </r>
  <r>
    <n v="22"/>
    <x v="0"/>
    <x v="0"/>
    <x v="0"/>
    <x v="1"/>
    <x v="3"/>
    <x v="1"/>
    <x v="1"/>
    <x v="4"/>
    <x v="3"/>
    <x v="1"/>
    <x v="3"/>
    <x v="0"/>
  </r>
  <r>
    <n v="30"/>
    <x v="0"/>
    <x v="0"/>
    <x v="0"/>
    <x v="2"/>
    <x v="7"/>
    <x v="0"/>
    <x v="2"/>
    <x v="3"/>
    <x v="1"/>
    <x v="0"/>
    <x v="2"/>
    <x v="1"/>
  </r>
  <r>
    <n v="18"/>
    <x v="2"/>
    <x v="1"/>
    <x v="0"/>
    <x v="1"/>
    <x v="8"/>
    <x v="0"/>
    <x v="2"/>
    <x v="3"/>
    <x v="4"/>
    <x v="2"/>
    <x v="2"/>
    <x v="0"/>
  </r>
  <r>
    <n v="22"/>
    <x v="0"/>
    <x v="1"/>
    <x v="0"/>
    <x v="1"/>
    <x v="9"/>
    <x v="1"/>
    <x v="1"/>
    <x v="0"/>
    <x v="2"/>
    <x v="3"/>
    <x v="1"/>
    <x v="0"/>
  </r>
  <r>
    <n v="22"/>
    <x v="0"/>
    <x v="0"/>
    <x v="0"/>
    <x v="1"/>
    <x v="7"/>
    <x v="0"/>
    <x v="1"/>
    <x v="0"/>
    <x v="0"/>
    <x v="2"/>
    <x v="2"/>
    <x v="0"/>
  </r>
  <r>
    <n v="35"/>
    <x v="1"/>
    <x v="0"/>
    <x v="1"/>
    <x v="2"/>
    <x v="8"/>
    <x v="0"/>
    <x v="2"/>
    <x v="1"/>
    <x v="1"/>
    <x v="3"/>
    <x v="2"/>
    <x v="0"/>
  </r>
  <r>
    <n v="35"/>
    <x v="1"/>
    <x v="1"/>
    <x v="0"/>
    <x v="0"/>
    <x v="9"/>
    <x v="0"/>
    <x v="2"/>
    <x v="1"/>
    <x v="1"/>
    <x v="4"/>
    <x v="2"/>
    <x v="0"/>
  </r>
  <r>
    <n v="35"/>
    <x v="1"/>
    <x v="1"/>
    <x v="1"/>
    <x v="2"/>
    <x v="7"/>
    <x v="1"/>
    <x v="1"/>
    <x v="2"/>
    <x v="4"/>
    <x v="4"/>
    <x v="1"/>
    <x v="0"/>
  </r>
  <r>
    <n v="22"/>
    <x v="0"/>
    <x v="1"/>
    <x v="0"/>
    <x v="2"/>
    <x v="3"/>
    <x v="1"/>
    <x v="1"/>
    <x v="2"/>
    <x v="4"/>
    <x v="1"/>
    <x v="3"/>
    <x v="0"/>
  </r>
  <r>
    <n v="22"/>
    <x v="0"/>
    <x v="1"/>
    <x v="2"/>
    <x v="1"/>
    <x v="8"/>
    <x v="0"/>
    <x v="2"/>
    <x v="0"/>
    <x v="3"/>
    <x v="1"/>
    <x v="1"/>
    <x v="1"/>
  </r>
  <r>
    <n v="22"/>
    <x v="0"/>
    <x v="0"/>
    <x v="1"/>
    <x v="0"/>
    <x v="1"/>
    <x v="0"/>
    <x v="2"/>
    <x v="1"/>
    <x v="4"/>
    <x v="2"/>
    <x v="0"/>
    <x v="0"/>
  </r>
  <r>
    <n v="30"/>
    <x v="0"/>
    <x v="0"/>
    <x v="0"/>
    <x v="1"/>
    <x v="3"/>
    <x v="0"/>
    <x v="1"/>
    <x v="4"/>
    <x v="4"/>
    <x v="2"/>
    <x v="3"/>
    <x v="0"/>
  </r>
  <r>
    <n v="45"/>
    <x v="1"/>
    <x v="1"/>
    <x v="2"/>
    <x v="0"/>
    <x v="8"/>
    <x v="0"/>
    <x v="1"/>
    <x v="2"/>
    <x v="3"/>
    <x v="2"/>
    <x v="4"/>
    <x v="0"/>
  </r>
  <r>
    <n v="50"/>
    <x v="1"/>
    <x v="1"/>
    <x v="0"/>
    <x v="1"/>
    <x v="5"/>
    <x v="0"/>
    <x v="1"/>
    <x v="1"/>
    <x v="2"/>
    <x v="2"/>
    <x v="0"/>
    <x v="1"/>
  </r>
  <r>
    <n v="18"/>
    <x v="2"/>
    <x v="0"/>
    <x v="0"/>
    <x v="1"/>
    <x v="5"/>
    <x v="0"/>
    <x v="2"/>
    <x v="0"/>
    <x v="0"/>
    <x v="0"/>
    <x v="4"/>
    <x v="0"/>
  </r>
  <r>
    <n v="25"/>
    <x v="0"/>
    <x v="1"/>
    <x v="0"/>
    <x v="0"/>
    <x v="0"/>
    <x v="0"/>
    <x v="2"/>
    <x v="2"/>
    <x v="3"/>
    <x v="4"/>
    <x v="1"/>
    <x v="0"/>
  </r>
  <r>
    <n v="25"/>
    <x v="0"/>
    <x v="1"/>
    <x v="1"/>
    <x v="1"/>
    <x v="11"/>
    <x v="0"/>
    <x v="2"/>
    <x v="1"/>
    <x v="4"/>
    <x v="0"/>
    <x v="4"/>
    <x v="0"/>
  </r>
  <r>
    <n v="18"/>
    <x v="2"/>
    <x v="1"/>
    <x v="0"/>
    <x v="0"/>
    <x v="9"/>
    <x v="0"/>
    <x v="0"/>
    <x v="3"/>
    <x v="3"/>
    <x v="2"/>
    <x v="3"/>
    <x v="0"/>
  </r>
  <r>
    <n v="25"/>
    <x v="0"/>
    <x v="1"/>
    <x v="1"/>
    <x v="1"/>
    <x v="6"/>
    <x v="0"/>
    <x v="2"/>
    <x v="0"/>
    <x v="1"/>
    <x v="2"/>
    <x v="1"/>
    <x v="1"/>
  </r>
  <r>
    <n v="30"/>
    <x v="0"/>
    <x v="1"/>
    <x v="3"/>
    <x v="0"/>
    <x v="4"/>
    <x v="2"/>
    <x v="2"/>
    <x v="0"/>
    <x v="1"/>
    <x v="1"/>
    <x v="2"/>
    <x v="0"/>
  </r>
  <r>
    <n v="25"/>
    <x v="0"/>
    <x v="1"/>
    <x v="2"/>
    <x v="0"/>
    <x v="5"/>
    <x v="0"/>
    <x v="0"/>
    <x v="0"/>
    <x v="2"/>
    <x v="4"/>
    <x v="2"/>
    <x v="0"/>
  </r>
  <r>
    <n v="18"/>
    <x v="2"/>
    <x v="0"/>
    <x v="0"/>
    <x v="1"/>
    <x v="1"/>
    <x v="0"/>
    <x v="2"/>
    <x v="1"/>
    <x v="3"/>
    <x v="3"/>
    <x v="1"/>
    <x v="0"/>
  </r>
  <r>
    <n v="25"/>
    <x v="0"/>
    <x v="1"/>
    <x v="0"/>
    <x v="1"/>
    <x v="7"/>
    <x v="0"/>
    <x v="1"/>
    <x v="0"/>
    <x v="3"/>
    <x v="0"/>
    <x v="4"/>
    <x v="1"/>
  </r>
  <r>
    <n v="30"/>
    <x v="0"/>
    <x v="1"/>
    <x v="0"/>
    <x v="1"/>
    <x v="10"/>
    <x v="0"/>
    <x v="2"/>
    <x v="3"/>
    <x v="3"/>
    <x v="4"/>
    <x v="4"/>
    <x v="0"/>
  </r>
  <r>
    <n v="30"/>
    <x v="0"/>
    <x v="1"/>
    <x v="2"/>
    <x v="0"/>
    <x v="6"/>
    <x v="0"/>
    <x v="2"/>
    <x v="0"/>
    <x v="3"/>
    <x v="0"/>
    <x v="4"/>
    <x v="1"/>
  </r>
  <r>
    <n v="55"/>
    <x v="3"/>
    <x v="0"/>
    <x v="0"/>
    <x v="2"/>
    <x v="2"/>
    <x v="0"/>
    <x v="2"/>
    <x v="0"/>
    <x v="4"/>
    <x v="1"/>
    <x v="4"/>
    <x v="0"/>
  </r>
  <r>
    <n v="40"/>
    <x v="1"/>
    <x v="1"/>
    <x v="0"/>
    <x v="0"/>
    <x v="4"/>
    <x v="0"/>
    <x v="2"/>
    <x v="4"/>
    <x v="3"/>
    <x v="2"/>
    <x v="4"/>
    <x v="0"/>
  </r>
  <r>
    <n v="50"/>
    <x v="1"/>
    <x v="0"/>
    <x v="1"/>
    <x v="1"/>
    <x v="7"/>
    <x v="2"/>
    <x v="1"/>
    <x v="4"/>
    <x v="0"/>
    <x v="3"/>
    <x v="1"/>
    <x v="0"/>
  </r>
  <r>
    <n v="25"/>
    <x v="0"/>
    <x v="0"/>
    <x v="3"/>
    <x v="0"/>
    <x v="1"/>
    <x v="0"/>
    <x v="2"/>
    <x v="0"/>
    <x v="1"/>
    <x v="0"/>
    <x v="4"/>
    <x v="1"/>
  </r>
  <r>
    <n v="40"/>
    <x v="1"/>
    <x v="0"/>
    <x v="2"/>
    <x v="0"/>
    <x v="11"/>
    <x v="1"/>
    <x v="1"/>
    <x v="4"/>
    <x v="3"/>
    <x v="1"/>
    <x v="4"/>
    <x v="0"/>
  </r>
  <r>
    <n v="35"/>
    <x v="1"/>
    <x v="0"/>
    <x v="1"/>
    <x v="1"/>
    <x v="11"/>
    <x v="1"/>
    <x v="2"/>
    <x v="4"/>
    <x v="3"/>
    <x v="1"/>
    <x v="4"/>
    <x v="0"/>
  </r>
  <r>
    <n v="60"/>
    <x v="3"/>
    <x v="1"/>
    <x v="2"/>
    <x v="1"/>
    <x v="4"/>
    <x v="0"/>
    <x v="0"/>
    <x v="0"/>
    <x v="1"/>
    <x v="0"/>
    <x v="1"/>
    <x v="0"/>
  </r>
  <r>
    <n v="55"/>
    <x v="3"/>
    <x v="0"/>
    <x v="0"/>
    <x v="2"/>
    <x v="3"/>
    <x v="0"/>
    <x v="2"/>
    <x v="3"/>
    <x v="2"/>
    <x v="0"/>
    <x v="2"/>
    <x v="1"/>
  </r>
  <r>
    <n v="22"/>
    <x v="0"/>
    <x v="0"/>
    <x v="1"/>
    <x v="1"/>
    <x v="3"/>
    <x v="0"/>
    <x v="2"/>
    <x v="0"/>
    <x v="2"/>
    <x v="0"/>
    <x v="4"/>
    <x v="1"/>
  </r>
  <r>
    <n v="18"/>
    <x v="2"/>
    <x v="1"/>
    <x v="2"/>
    <x v="2"/>
    <x v="1"/>
    <x v="0"/>
    <x v="0"/>
    <x v="1"/>
    <x v="1"/>
    <x v="3"/>
    <x v="2"/>
    <x v="0"/>
  </r>
  <r>
    <n v="40"/>
    <x v="1"/>
    <x v="0"/>
    <x v="1"/>
    <x v="1"/>
    <x v="9"/>
    <x v="0"/>
    <x v="0"/>
    <x v="3"/>
    <x v="0"/>
    <x v="0"/>
    <x v="3"/>
    <x v="0"/>
  </r>
  <r>
    <n v="22"/>
    <x v="0"/>
    <x v="0"/>
    <x v="1"/>
    <x v="1"/>
    <x v="0"/>
    <x v="0"/>
    <x v="1"/>
    <x v="1"/>
    <x v="1"/>
    <x v="0"/>
    <x v="2"/>
    <x v="1"/>
  </r>
  <r>
    <n v="60"/>
    <x v="3"/>
    <x v="1"/>
    <x v="0"/>
    <x v="1"/>
    <x v="1"/>
    <x v="0"/>
    <x v="2"/>
    <x v="3"/>
    <x v="4"/>
    <x v="2"/>
    <x v="3"/>
    <x v="0"/>
  </r>
  <r>
    <n v="22"/>
    <x v="0"/>
    <x v="0"/>
    <x v="0"/>
    <x v="1"/>
    <x v="0"/>
    <x v="0"/>
    <x v="0"/>
    <x v="3"/>
    <x v="1"/>
    <x v="0"/>
    <x v="2"/>
    <x v="0"/>
  </r>
  <r>
    <n v="40"/>
    <x v="1"/>
    <x v="1"/>
    <x v="0"/>
    <x v="0"/>
    <x v="10"/>
    <x v="1"/>
    <x v="1"/>
    <x v="2"/>
    <x v="3"/>
    <x v="3"/>
    <x v="0"/>
    <x v="0"/>
  </r>
  <r>
    <n v="60"/>
    <x v="3"/>
    <x v="1"/>
    <x v="1"/>
    <x v="1"/>
    <x v="1"/>
    <x v="1"/>
    <x v="2"/>
    <x v="4"/>
    <x v="4"/>
    <x v="4"/>
    <x v="1"/>
    <x v="0"/>
  </r>
  <r>
    <n v="45"/>
    <x v="1"/>
    <x v="1"/>
    <x v="1"/>
    <x v="2"/>
    <x v="6"/>
    <x v="1"/>
    <x v="2"/>
    <x v="2"/>
    <x v="4"/>
    <x v="3"/>
    <x v="1"/>
    <x v="0"/>
  </r>
  <r>
    <n v="25"/>
    <x v="0"/>
    <x v="0"/>
    <x v="0"/>
    <x v="2"/>
    <x v="4"/>
    <x v="0"/>
    <x v="1"/>
    <x v="2"/>
    <x v="4"/>
    <x v="1"/>
    <x v="2"/>
    <x v="0"/>
  </r>
  <r>
    <n v="25"/>
    <x v="0"/>
    <x v="1"/>
    <x v="1"/>
    <x v="1"/>
    <x v="2"/>
    <x v="1"/>
    <x v="2"/>
    <x v="4"/>
    <x v="4"/>
    <x v="1"/>
    <x v="1"/>
    <x v="0"/>
  </r>
  <r>
    <n v="22"/>
    <x v="0"/>
    <x v="1"/>
    <x v="2"/>
    <x v="1"/>
    <x v="11"/>
    <x v="0"/>
    <x v="2"/>
    <x v="0"/>
    <x v="2"/>
    <x v="4"/>
    <x v="3"/>
    <x v="0"/>
  </r>
  <r>
    <n v="30"/>
    <x v="0"/>
    <x v="0"/>
    <x v="2"/>
    <x v="2"/>
    <x v="10"/>
    <x v="0"/>
    <x v="1"/>
    <x v="1"/>
    <x v="3"/>
    <x v="2"/>
    <x v="4"/>
    <x v="1"/>
  </r>
  <r>
    <n v="22"/>
    <x v="0"/>
    <x v="0"/>
    <x v="1"/>
    <x v="1"/>
    <x v="8"/>
    <x v="0"/>
    <x v="1"/>
    <x v="3"/>
    <x v="1"/>
    <x v="1"/>
    <x v="4"/>
    <x v="1"/>
  </r>
  <r>
    <n v="22"/>
    <x v="0"/>
    <x v="0"/>
    <x v="2"/>
    <x v="1"/>
    <x v="3"/>
    <x v="2"/>
    <x v="2"/>
    <x v="4"/>
    <x v="0"/>
    <x v="4"/>
    <x v="2"/>
    <x v="0"/>
  </r>
  <r>
    <n v="18"/>
    <x v="2"/>
    <x v="0"/>
    <x v="0"/>
    <x v="2"/>
    <x v="3"/>
    <x v="2"/>
    <x v="0"/>
    <x v="4"/>
    <x v="3"/>
    <x v="4"/>
    <x v="4"/>
    <x v="0"/>
  </r>
  <r>
    <n v="25"/>
    <x v="0"/>
    <x v="1"/>
    <x v="3"/>
    <x v="0"/>
    <x v="3"/>
    <x v="0"/>
    <x v="1"/>
    <x v="0"/>
    <x v="2"/>
    <x v="2"/>
    <x v="3"/>
    <x v="1"/>
  </r>
  <r>
    <n v="35"/>
    <x v="1"/>
    <x v="1"/>
    <x v="3"/>
    <x v="0"/>
    <x v="9"/>
    <x v="0"/>
    <x v="0"/>
    <x v="1"/>
    <x v="1"/>
    <x v="2"/>
    <x v="0"/>
    <x v="0"/>
  </r>
  <r>
    <n v="18"/>
    <x v="2"/>
    <x v="0"/>
    <x v="1"/>
    <x v="1"/>
    <x v="3"/>
    <x v="1"/>
    <x v="2"/>
    <x v="4"/>
    <x v="3"/>
    <x v="4"/>
    <x v="2"/>
    <x v="0"/>
  </r>
  <r>
    <n v="18"/>
    <x v="2"/>
    <x v="0"/>
    <x v="3"/>
    <x v="1"/>
    <x v="7"/>
    <x v="0"/>
    <x v="1"/>
    <x v="0"/>
    <x v="2"/>
    <x v="2"/>
    <x v="2"/>
    <x v="1"/>
  </r>
  <r>
    <n v="35"/>
    <x v="1"/>
    <x v="1"/>
    <x v="1"/>
    <x v="2"/>
    <x v="11"/>
    <x v="0"/>
    <x v="1"/>
    <x v="1"/>
    <x v="2"/>
    <x v="3"/>
    <x v="3"/>
    <x v="0"/>
  </r>
  <r>
    <n v="35"/>
    <x v="1"/>
    <x v="0"/>
    <x v="0"/>
    <x v="1"/>
    <x v="7"/>
    <x v="1"/>
    <x v="1"/>
    <x v="4"/>
    <x v="0"/>
    <x v="3"/>
    <x v="4"/>
    <x v="0"/>
  </r>
  <r>
    <n v="55"/>
    <x v="3"/>
    <x v="0"/>
    <x v="0"/>
    <x v="2"/>
    <x v="1"/>
    <x v="0"/>
    <x v="1"/>
    <x v="0"/>
    <x v="1"/>
    <x v="0"/>
    <x v="3"/>
    <x v="1"/>
  </r>
  <r>
    <n v="30"/>
    <x v="0"/>
    <x v="0"/>
    <x v="0"/>
    <x v="1"/>
    <x v="9"/>
    <x v="0"/>
    <x v="2"/>
    <x v="3"/>
    <x v="3"/>
    <x v="2"/>
    <x v="3"/>
    <x v="1"/>
  </r>
  <r>
    <n v="30"/>
    <x v="0"/>
    <x v="0"/>
    <x v="2"/>
    <x v="1"/>
    <x v="1"/>
    <x v="0"/>
    <x v="2"/>
    <x v="3"/>
    <x v="1"/>
    <x v="3"/>
    <x v="3"/>
    <x v="0"/>
  </r>
  <r>
    <n v="45"/>
    <x v="1"/>
    <x v="0"/>
    <x v="3"/>
    <x v="2"/>
    <x v="11"/>
    <x v="0"/>
    <x v="1"/>
    <x v="3"/>
    <x v="3"/>
    <x v="1"/>
    <x v="4"/>
    <x v="1"/>
  </r>
  <r>
    <n v="35"/>
    <x v="1"/>
    <x v="1"/>
    <x v="2"/>
    <x v="1"/>
    <x v="1"/>
    <x v="0"/>
    <x v="2"/>
    <x v="0"/>
    <x v="2"/>
    <x v="1"/>
    <x v="4"/>
    <x v="1"/>
  </r>
  <r>
    <n v="18"/>
    <x v="2"/>
    <x v="0"/>
    <x v="2"/>
    <x v="0"/>
    <x v="3"/>
    <x v="1"/>
    <x v="0"/>
    <x v="2"/>
    <x v="4"/>
    <x v="4"/>
    <x v="0"/>
    <x v="0"/>
  </r>
  <r>
    <n v="25"/>
    <x v="0"/>
    <x v="0"/>
    <x v="1"/>
    <x v="2"/>
    <x v="11"/>
    <x v="0"/>
    <x v="2"/>
    <x v="3"/>
    <x v="0"/>
    <x v="2"/>
    <x v="4"/>
    <x v="0"/>
  </r>
  <r>
    <n v="45"/>
    <x v="1"/>
    <x v="0"/>
    <x v="1"/>
    <x v="1"/>
    <x v="11"/>
    <x v="0"/>
    <x v="2"/>
    <x v="2"/>
    <x v="4"/>
    <x v="1"/>
    <x v="1"/>
    <x v="0"/>
  </r>
  <r>
    <n v="30"/>
    <x v="0"/>
    <x v="0"/>
    <x v="2"/>
    <x v="1"/>
    <x v="8"/>
    <x v="1"/>
    <x v="2"/>
    <x v="4"/>
    <x v="0"/>
    <x v="3"/>
    <x v="1"/>
    <x v="0"/>
  </r>
  <r>
    <n v="22"/>
    <x v="0"/>
    <x v="0"/>
    <x v="2"/>
    <x v="1"/>
    <x v="9"/>
    <x v="0"/>
    <x v="2"/>
    <x v="1"/>
    <x v="1"/>
    <x v="2"/>
    <x v="4"/>
    <x v="1"/>
  </r>
  <r>
    <n v="22"/>
    <x v="0"/>
    <x v="1"/>
    <x v="3"/>
    <x v="0"/>
    <x v="3"/>
    <x v="0"/>
    <x v="2"/>
    <x v="2"/>
    <x v="4"/>
    <x v="2"/>
    <x v="4"/>
    <x v="0"/>
  </r>
  <r>
    <n v="40"/>
    <x v="1"/>
    <x v="0"/>
    <x v="0"/>
    <x v="2"/>
    <x v="9"/>
    <x v="1"/>
    <x v="1"/>
    <x v="2"/>
    <x v="4"/>
    <x v="3"/>
    <x v="2"/>
    <x v="0"/>
  </r>
  <r>
    <n v="18"/>
    <x v="2"/>
    <x v="0"/>
    <x v="1"/>
    <x v="0"/>
    <x v="9"/>
    <x v="0"/>
    <x v="0"/>
    <x v="4"/>
    <x v="3"/>
    <x v="4"/>
    <x v="1"/>
    <x v="0"/>
  </r>
  <r>
    <n v="25"/>
    <x v="0"/>
    <x v="0"/>
    <x v="2"/>
    <x v="1"/>
    <x v="3"/>
    <x v="1"/>
    <x v="1"/>
    <x v="4"/>
    <x v="0"/>
    <x v="4"/>
    <x v="1"/>
    <x v="0"/>
  </r>
  <r>
    <n v="60"/>
    <x v="3"/>
    <x v="0"/>
    <x v="3"/>
    <x v="0"/>
    <x v="8"/>
    <x v="1"/>
    <x v="2"/>
    <x v="2"/>
    <x v="4"/>
    <x v="3"/>
    <x v="2"/>
    <x v="0"/>
  </r>
  <r>
    <n v="25"/>
    <x v="0"/>
    <x v="1"/>
    <x v="1"/>
    <x v="2"/>
    <x v="9"/>
    <x v="0"/>
    <x v="2"/>
    <x v="0"/>
    <x v="1"/>
    <x v="0"/>
    <x v="1"/>
    <x v="1"/>
  </r>
  <r>
    <n v="22"/>
    <x v="0"/>
    <x v="1"/>
    <x v="0"/>
    <x v="1"/>
    <x v="7"/>
    <x v="0"/>
    <x v="1"/>
    <x v="2"/>
    <x v="3"/>
    <x v="1"/>
    <x v="2"/>
    <x v="0"/>
  </r>
  <r>
    <n v="22"/>
    <x v="0"/>
    <x v="0"/>
    <x v="3"/>
    <x v="2"/>
    <x v="4"/>
    <x v="0"/>
    <x v="1"/>
    <x v="3"/>
    <x v="2"/>
    <x v="4"/>
    <x v="0"/>
    <x v="0"/>
  </r>
  <r>
    <n v="35"/>
    <x v="1"/>
    <x v="0"/>
    <x v="1"/>
    <x v="0"/>
    <x v="10"/>
    <x v="2"/>
    <x v="0"/>
    <x v="2"/>
    <x v="4"/>
    <x v="3"/>
    <x v="1"/>
    <x v="0"/>
  </r>
  <r>
    <n v="25"/>
    <x v="0"/>
    <x v="1"/>
    <x v="0"/>
    <x v="1"/>
    <x v="7"/>
    <x v="1"/>
    <x v="1"/>
    <x v="2"/>
    <x v="3"/>
    <x v="1"/>
    <x v="0"/>
    <x v="0"/>
  </r>
  <r>
    <n v="22"/>
    <x v="0"/>
    <x v="1"/>
    <x v="2"/>
    <x v="1"/>
    <x v="7"/>
    <x v="0"/>
    <x v="2"/>
    <x v="3"/>
    <x v="2"/>
    <x v="2"/>
    <x v="1"/>
    <x v="1"/>
  </r>
  <r>
    <n v="30"/>
    <x v="0"/>
    <x v="0"/>
    <x v="1"/>
    <x v="2"/>
    <x v="8"/>
    <x v="0"/>
    <x v="1"/>
    <x v="4"/>
    <x v="3"/>
    <x v="0"/>
    <x v="4"/>
    <x v="0"/>
  </r>
  <r>
    <n v="55"/>
    <x v="3"/>
    <x v="0"/>
    <x v="2"/>
    <x v="1"/>
    <x v="11"/>
    <x v="0"/>
    <x v="1"/>
    <x v="0"/>
    <x v="1"/>
    <x v="2"/>
    <x v="2"/>
    <x v="1"/>
  </r>
  <r>
    <n v="60"/>
    <x v="3"/>
    <x v="1"/>
    <x v="2"/>
    <x v="0"/>
    <x v="3"/>
    <x v="0"/>
    <x v="1"/>
    <x v="1"/>
    <x v="4"/>
    <x v="2"/>
    <x v="1"/>
    <x v="0"/>
  </r>
  <r>
    <n v="22"/>
    <x v="0"/>
    <x v="1"/>
    <x v="1"/>
    <x v="0"/>
    <x v="11"/>
    <x v="0"/>
    <x v="1"/>
    <x v="1"/>
    <x v="3"/>
    <x v="1"/>
    <x v="1"/>
    <x v="1"/>
  </r>
  <r>
    <n v="25"/>
    <x v="0"/>
    <x v="0"/>
    <x v="2"/>
    <x v="0"/>
    <x v="8"/>
    <x v="0"/>
    <x v="1"/>
    <x v="3"/>
    <x v="2"/>
    <x v="0"/>
    <x v="0"/>
    <x v="1"/>
  </r>
  <r>
    <n v="30"/>
    <x v="0"/>
    <x v="0"/>
    <x v="2"/>
    <x v="1"/>
    <x v="4"/>
    <x v="0"/>
    <x v="1"/>
    <x v="2"/>
    <x v="0"/>
    <x v="2"/>
    <x v="0"/>
    <x v="0"/>
  </r>
  <r>
    <n v="25"/>
    <x v="0"/>
    <x v="1"/>
    <x v="3"/>
    <x v="1"/>
    <x v="7"/>
    <x v="1"/>
    <x v="2"/>
    <x v="2"/>
    <x v="0"/>
    <x v="3"/>
    <x v="4"/>
    <x v="0"/>
  </r>
  <r>
    <n v="22"/>
    <x v="0"/>
    <x v="0"/>
    <x v="2"/>
    <x v="0"/>
    <x v="2"/>
    <x v="0"/>
    <x v="1"/>
    <x v="0"/>
    <x v="3"/>
    <x v="1"/>
    <x v="2"/>
    <x v="1"/>
  </r>
  <r>
    <n v="25"/>
    <x v="0"/>
    <x v="1"/>
    <x v="1"/>
    <x v="2"/>
    <x v="9"/>
    <x v="0"/>
    <x v="2"/>
    <x v="3"/>
    <x v="1"/>
    <x v="0"/>
    <x v="4"/>
    <x v="1"/>
  </r>
  <r>
    <n v="60"/>
    <x v="3"/>
    <x v="1"/>
    <x v="3"/>
    <x v="0"/>
    <x v="6"/>
    <x v="0"/>
    <x v="2"/>
    <x v="0"/>
    <x v="1"/>
    <x v="2"/>
    <x v="0"/>
    <x v="1"/>
  </r>
  <r>
    <n v="35"/>
    <x v="1"/>
    <x v="0"/>
    <x v="1"/>
    <x v="1"/>
    <x v="1"/>
    <x v="0"/>
    <x v="1"/>
    <x v="2"/>
    <x v="4"/>
    <x v="0"/>
    <x v="2"/>
    <x v="0"/>
  </r>
  <r>
    <n v="45"/>
    <x v="1"/>
    <x v="1"/>
    <x v="1"/>
    <x v="1"/>
    <x v="4"/>
    <x v="0"/>
    <x v="2"/>
    <x v="3"/>
    <x v="4"/>
    <x v="1"/>
    <x v="0"/>
    <x v="0"/>
  </r>
  <r>
    <n v="22"/>
    <x v="0"/>
    <x v="0"/>
    <x v="0"/>
    <x v="1"/>
    <x v="9"/>
    <x v="0"/>
    <x v="1"/>
    <x v="3"/>
    <x v="3"/>
    <x v="0"/>
    <x v="0"/>
    <x v="1"/>
  </r>
  <r>
    <n v="18"/>
    <x v="2"/>
    <x v="1"/>
    <x v="1"/>
    <x v="2"/>
    <x v="7"/>
    <x v="0"/>
    <x v="1"/>
    <x v="2"/>
    <x v="4"/>
    <x v="0"/>
    <x v="4"/>
    <x v="0"/>
  </r>
  <r>
    <n v="45"/>
    <x v="1"/>
    <x v="1"/>
    <x v="1"/>
    <x v="1"/>
    <x v="3"/>
    <x v="0"/>
    <x v="2"/>
    <x v="3"/>
    <x v="2"/>
    <x v="2"/>
    <x v="4"/>
    <x v="1"/>
  </r>
  <r>
    <n v="25"/>
    <x v="0"/>
    <x v="0"/>
    <x v="0"/>
    <x v="0"/>
    <x v="1"/>
    <x v="0"/>
    <x v="2"/>
    <x v="0"/>
    <x v="2"/>
    <x v="2"/>
    <x v="4"/>
    <x v="1"/>
  </r>
  <r>
    <n v="50"/>
    <x v="1"/>
    <x v="0"/>
    <x v="1"/>
    <x v="2"/>
    <x v="6"/>
    <x v="1"/>
    <x v="2"/>
    <x v="2"/>
    <x v="3"/>
    <x v="4"/>
    <x v="0"/>
    <x v="0"/>
  </r>
  <r>
    <n v="40"/>
    <x v="1"/>
    <x v="1"/>
    <x v="3"/>
    <x v="2"/>
    <x v="3"/>
    <x v="2"/>
    <x v="2"/>
    <x v="0"/>
    <x v="1"/>
    <x v="1"/>
    <x v="2"/>
    <x v="0"/>
  </r>
  <r>
    <n v="18"/>
    <x v="2"/>
    <x v="0"/>
    <x v="2"/>
    <x v="1"/>
    <x v="9"/>
    <x v="0"/>
    <x v="2"/>
    <x v="2"/>
    <x v="0"/>
    <x v="1"/>
    <x v="4"/>
    <x v="0"/>
  </r>
  <r>
    <n v="40"/>
    <x v="1"/>
    <x v="0"/>
    <x v="0"/>
    <x v="0"/>
    <x v="6"/>
    <x v="0"/>
    <x v="1"/>
    <x v="1"/>
    <x v="2"/>
    <x v="0"/>
    <x v="4"/>
    <x v="1"/>
  </r>
  <r>
    <n v="18"/>
    <x v="2"/>
    <x v="1"/>
    <x v="1"/>
    <x v="1"/>
    <x v="2"/>
    <x v="0"/>
    <x v="2"/>
    <x v="3"/>
    <x v="1"/>
    <x v="2"/>
    <x v="2"/>
    <x v="1"/>
  </r>
  <r>
    <n v="25"/>
    <x v="0"/>
    <x v="1"/>
    <x v="1"/>
    <x v="1"/>
    <x v="5"/>
    <x v="0"/>
    <x v="1"/>
    <x v="0"/>
    <x v="3"/>
    <x v="3"/>
    <x v="0"/>
    <x v="0"/>
  </r>
  <r>
    <n v="40"/>
    <x v="1"/>
    <x v="1"/>
    <x v="0"/>
    <x v="1"/>
    <x v="1"/>
    <x v="0"/>
    <x v="2"/>
    <x v="3"/>
    <x v="1"/>
    <x v="2"/>
    <x v="1"/>
    <x v="1"/>
  </r>
  <r>
    <n v="25"/>
    <x v="0"/>
    <x v="1"/>
    <x v="2"/>
    <x v="0"/>
    <x v="11"/>
    <x v="1"/>
    <x v="2"/>
    <x v="0"/>
    <x v="4"/>
    <x v="1"/>
    <x v="3"/>
    <x v="0"/>
  </r>
  <r>
    <n v="35"/>
    <x v="1"/>
    <x v="0"/>
    <x v="1"/>
    <x v="0"/>
    <x v="1"/>
    <x v="0"/>
    <x v="0"/>
    <x v="1"/>
    <x v="1"/>
    <x v="0"/>
    <x v="0"/>
    <x v="0"/>
  </r>
  <r>
    <n v="50"/>
    <x v="1"/>
    <x v="1"/>
    <x v="0"/>
    <x v="2"/>
    <x v="4"/>
    <x v="0"/>
    <x v="1"/>
    <x v="1"/>
    <x v="1"/>
    <x v="1"/>
    <x v="2"/>
    <x v="1"/>
  </r>
  <r>
    <n v="50"/>
    <x v="1"/>
    <x v="1"/>
    <x v="3"/>
    <x v="0"/>
    <x v="11"/>
    <x v="1"/>
    <x v="1"/>
    <x v="4"/>
    <x v="3"/>
    <x v="3"/>
    <x v="2"/>
    <x v="0"/>
  </r>
  <r>
    <n v="30"/>
    <x v="0"/>
    <x v="0"/>
    <x v="2"/>
    <x v="1"/>
    <x v="10"/>
    <x v="0"/>
    <x v="1"/>
    <x v="0"/>
    <x v="2"/>
    <x v="2"/>
    <x v="2"/>
    <x v="1"/>
  </r>
  <r>
    <n v="45"/>
    <x v="1"/>
    <x v="1"/>
    <x v="0"/>
    <x v="2"/>
    <x v="1"/>
    <x v="0"/>
    <x v="2"/>
    <x v="0"/>
    <x v="3"/>
    <x v="0"/>
    <x v="2"/>
    <x v="1"/>
  </r>
  <r>
    <n v="35"/>
    <x v="1"/>
    <x v="0"/>
    <x v="1"/>
    <x v="2"/>
    <x v="11"/>
    <x v="2"/>
    <x v="2"/>
    <x v="0"/>
    <x v="1"/>
    <x v="3"/>
    <x v="2"/>
    <x v="0"/>
  </r>
  <r>
    <n v="50"/>
    <x v="1"/>
    <x v="1"/>
    <x v="2"/>
    <x v="2"/>
    <x v="1"/>
    <x v="0"/>
    <x v="2"/>
    <x v="0"/>
    <x v="3"/>
    <x v="0"/>
    <x v="1"/>
    <x v="1"/>
  </r>
  <r>
    <n v="30"/>
    <x v="0"/>
    <x v="1"/>
    <x v="0"/>
    <x v="1"/>
    <x v="2"/>
    <x v="0"/>
    <x v="0"/>
    <x v="1"/>
    <x v="2"/>
    <x v="3"/>
    <x v="0"/>
    <x v="0"/>
  </r>
  <r>
    <n v="30"/>
    <x v="0"/>
    <x v="0"/>
    <x v="0"/>
    <x v="0"/>
    <x v="7"/>
    <x v="0"/>
    <x v="1"/>
    <x v="1"/>
    <x v="3"/>
    <x v="0"/>
    <x v="2"/>
    <x v="1"/>
  </r>
  <r>
    <n v="22"/>
    <x v="0"/>
    <x v="1"/>
    <x v="1"/>
    <x v="2"/>
    <x v="5"/>
    <x v="0"/>
    <x v="1"/>
    <x v="0"/>
    <x v="1"/>
    <x v="2"/>
    <x v="2"/>
    <x v="1"/>
  </r>
  <r>
    <n v="40"/>
    <x v="1"/>
    <x v="0"/>
    <x v="0"/>
    <x v="1"/>
    <x v="1"/>
    <x v="2"/>
    <x v="2"/>
    <x v="2"/>
    <x v="4"/>
    <x v="3"/>
    <x v="3"/>
    <x v="0"/>
  </r>
  <r>
    <n v="55"/>
    <x v="3"/>
    <x v="0"/>
    <x v="2"/>
    <x v="1"/>
    <x v="7"/>
    <x v="0"/>
    <x v="2"/>
    <x v="0"/>
    <x v="1"/>
    <x v="1"/>
    <x v="4"/>
    <x v="1"/>
  </r>
  <r>
    <n v="50"/>
    <x v="1"/>
    <x v="0"/>
    <x v="0"/>
    <x v="0"/>
    <x v="8"/>
    <x v="0"/>
    <x v="0"/>
    <x v="0"/>
    <x v="2"/>
    <x v="2"/>
    <x v="1"/>
    <x v="0"/>
  </r>
  <r>
    <n v="55"/>
    <x v="3"/>
    <x v="1"/>
    <x v="0"/>
    <x v="1"/>
    <x v="1"/>
    <x v="0"/>
    <x v="2"/>
    <x v="0"/>
    <x v="0"/>
    <x v="0"/>
    <x v="3"/>
    <x v="0"/>
  </r>
  <r>
    <n v="25"/>
    <x v="0"/>
    <x v="1"/>
    <x v="2"/>
    <x v="2"/>
    <x v="6"/>
    <x v="0"/>
    <x v="1"/>
    <x v="1"/>
    <x v="3"/>
    <x v="3"/>
    <x v="4"/>
    <x v="0"/>
  </r>
  <r>
    <n v="55"/>
    <x v="3"/>
    <x v="0"/>
    <x v="1"/>
    <x v="2"/>
    <x v="4"/>
    <x v="0"/>
    <x v="2"/>
    <x v="1"/>
    <x v="1"/>
    <x v="0"/>
    <x v="1"/>
    <x v="1"/>
  </r>
  <r>
    <n v="25"/>
    <x v="0"/>
    <x v="0"/>
    <x v="1"/>
    <x v="2"/>
    <x v="3"/>
    <x v="0"/>
    <x v="2"/>
    <x v="3"/>
    <x v="4"/>
    <x v="3"/>
    <x v="2"/>
    <x v="0"/>
  </r>
  <r>
    <n v="25"/>
    <x v="0"/>
    <x v="1"/>
    <x v="3"/>
    <x v="0"/>
    <x v="8"/>
    <x v="0"/>
    <x v="2"/>
    <x v="1"/>
    <x v="1"/>
    <x v="2"/>
    <x v="4"/>
    <x v="1"/>
  </r>
  <r>
    <n v="55"/>
    <x v="3"/>
    <x v="1"/>
    <x v="0"/>
    <x v="0"/>
    <x v="9"/>
    <x v="0"/>
    <x v="2"/>
    <x v="3"/>
    <x v="3"/>
    <x v="0"/>
    <x v="3"/>
    <x v="1"/>
  </r>
  <r>
    <n v="30"/>
    <x v="0"/>
    <x v="1"/>
    <x v="0"/>
    <x v="2"/>
    <x v="7"/>
    <x v="1"/>
    <x v="2"/>
    <x v="2"/>
    <x v="3"/>
    <x v="1"/>
    <x v="4"/>
    <x v="0"/>
  </r>
  <r>
    <n v="35"/>
    <x v="1"/>
    <x v="1"/>
    <x v="1"/>
    <x v="2"/>
    <x v="6"/>
    <x v="1"/>
    <x v="1"/>
    <x v="2"/>
    <x v="0"/>
    <x v="3"/>
    <x v="4"/>
    <x v="0"/>
  </r>
  <r>
    <n v="18"/>
    <x v="2"/>
    <x v="0"/>
    <x v="3"/>
    <x v="1"/>
    <x v="1"/>
    <x v="0"/>
    <x v="1"/>
    <x v="3"/>
    <x v="3"/>
    <x v="2"/>
    <x v="2"/>
    <x v="1"/>
  </r>
  <r>
    <n v="25"/>
    <x v="0"/>
    <x v="1"/>
    <x v="3"/>
    <x v="2"/>
    <x v="3"/>
    <x v="2"/>
    <x v="0"/>
    <x v="2"/>
    <x v="0"/>
    <x v="4"/>
    <x v="2"/>
    <x v="0"/>
  </r>
  <r>
    <n v="35"/>
    <x v="1"/>
    <x v="0"/>
    <x v="3"/>
    <x v="2"/>
    <x v="1"/>
    <x v="0"/>
    <x v="1"/>
    <x v="3"/>
    <x v="2"/>
    <x v="1"/>
    <x v="2"/>
    <x v="1"/>
  </r>
  <r>
    <n v="35"/>
    <x v="1"/>
    <x v="1"/>
    <x v="0"/>
    <x v="2"/>
    <x v="8"/>
    <x v="0"/>
    <x v="0"/>
    <x v="2"/>
    <x v="3"/>
    <x v="1"/>
    <x v="1"/>
    <x v="0"/>
  </r>
  <r>
    <n v="35"/>
    <x v="1"/>
    <x v="1"/>
    <x v="3"/>
    <x v="2"/>
    <x v="10"/>
    <x v="1"/>
    <x v="2"/>
    <x v="2"/>
    <x v="0"/>
    <x v="3"/>
    <x v="4"/>
    <x v="0"/>
  </r>
  <r>
    <n v="35"/>
    <x v="1"/>
    <x v="0"/>
    <x v="0"/>
    <x v="2"/>
    <x v="3"/>
    <x v="0"/>
    <x v="2"/>
    <x v="1"/>
    <x v="4"/>
    <x v="1"/>
    <x v="3"/>
    <x v="0"/>
  </r>
  <r>
    <n v="35"/>
    <x v="1"/>
    <x v="1"/>
    <x v="0"/>
    <x v="2"/>
    <x v="2"/>
    <x v="0"/>
    <x v="1"/>
    <x v="3"/>
    <x v="1"/>
    <x v="2"/>
    <x v="2"/>
    <x v="1"/>
  </r>
  <r>
    <n v="55"/>
    <x v="3"/>
    <x v="1"/>
    <x v="2"/>
    <x v="2"/>
    <x v="1"/>
    <x v="0"/>
    <x v="2"/>
    <x v="1"/>
    <x v="1"/>
    <x v="0"/>
    <x v="3"/>
    <x v="1"/>
  </r>
  <r>
    <n v="50"/>
    <x v="1"/>
    <x v="1"/>
    <x v="0"/>
    <x v="0"/>
    <x v="10"/>
    <x v="0"/>
    <x v="2"/>
    <x v="4"/>
    <x v="3"/>
    <x v="2"/>
    <x v="1"/>
    <x v="0"/>
  </r>
  <r>
    <n v="40"/>
    <x v="1"/>
    <x v="0"/>
    <x v="1"/>
    <x v="1"/>
    <x v="2"/>
    <x v="1"/>
    <x v="1"/>
    <x v="2"/>
    <x v="4"/>
    <x v="4"/>
    <x v="0"/>
    <x v="0"/>
  </r>
  <r>
    <n v="22"/>
    <x v="0"/>
    <x v="0"/>
    <x v="2"/>
    <x v="2"/>
    <x v="1"/>
    <x v="0"/>
    <x v="2"/>
    <x v="1"/>
    <x v="1"/>
    <x v="1"/>
    <x v="1"/>
    <x v="1"/>
  </r>
  <r>
    <n v="25"/>
    <x v="0"/>
    <x v="1"/>
    <x v="2"/>
    <x v="0"/>
    <x v="1"/>
    <x v="0"/>
    <x v="2"/>
    <x v="1"/>
    <x v="3"/>
    <x v="3"/>
    <x v="4"/>
    <x v="0"/>
  </r>
  <r>
    <n v="50"/>
    <x v="1"/>
    <x v="0"/>
    <x v="0"/>
    <x v="2"/>
    <x v="9"/>
    <x v="0"/>
    <x v="2"/>
    <x v="3"/>
    <x v="2"/>
    <x v="3"/>
    <x v="1"/>
    <x v="0"/>
  </r>
  <r>
    <n v="30"/>
    <x v="0"/>
    <x v="0"/>
    <x v="0"/>
    <x v="2"/>
    <x v="9"/>
    <x v="0"/>
    <x v="2"/>
    <x v="3"/>
    <x v="2"/>
    <x v="1"/>
    <x v="2"/>
    <x v="1"/>
  </r>
  <r>
    <n v="55"/>
    <x v="3"/>
    <x v="0"/>
    <x v="1"/>
    <x v="1"/>
    <x v="5"/>
    <x v="0"/>
    <x v="1"/>
    <x v="0"/>
    <x v="1"/>
    <x v="3"/>
    <x v="1"/>
    <x v="0"/>
  </r>
  <r>
    <n v="55"/>
    <x v="3"/>
    <x v="1"/>
    <x v="0"/>
    <x v="1"/>
    <x v="1"/>
    <x v="0"/>
    <x v="1"/>
    <x v="3"/>
    <x v="2"/>
    <x v="2"/>
    <x v="2"/>
    <x v="1"/>
  </r>
  <r>
    <n v="25"/>
    <x v="0"/>
    <x v="1"/>
    <x v="3"/>
    <x v="2"/>
    <x v="11"/>
    <x v="1"/>
    <x v="2"/>
    <x v="4"/>
    <x v="4"/>
    <x v="4"/>
    <x v="1"/>
    <x v="0"/>
  </r>
  <r>
    <n v="18"/>
    <x v="2"/>
    <x v="1"/>
    <x v="2"/>
    <x v="0"/>
    <x v="1"/>
    <x v="0"/>
    <x v="2"/>
    <x v="3"/>
    <x v="2"/>
    <x v="3"/>
    <x v="1"/>
    <x v="0"/>
  </r>
  <r>
    <n v="25"/>
    <x v="0"/>
    <x v="0"/>
    <x v="0"/>
    <x v="0"/>
    <x v="5"/>
    <x v="0"/>
    <x v="1"/>
    <x v="0"/>
    <x v="3"/>
    <x v="1"/>
    <x v="2"/>
    <x v="1"/>
  </r>
  <r>
    <n v="25"/>
    <x v="0"/>
    <x v="1"/>
    <x v="0"/>
    <x v="1"/>
    <x v="3"/>
    <x v="0"/>
    <x v="1"/>
    <x v="1"/>
    <x v="1"/>
    <x v="0"/>
    <x v="2"/>
    <x v="1"/>
  </r>
  <r>
    <n v="40"/>
    <x v="1"/>
    <x v="1"/>
    <x v="0"/>
    <x v="2"/>
    <x v="3"/>
    <x v="1"/>
    <x v="2"/>
    <x v="0"/>
    <x v="4"/>
    <x v="4"/>
    <x v="1"/>
    <x v="0"/>
  </r>
  <r>
    <n v="22"/>
    <x v="0"/>
    <x v="1"/>
    <x v="1"/>
    <x v="1"/>
    <x v="3"/>
    <x v="0"/>
    <x v="0"/>
    <x v="1"/>
    <x v="1"/>
    <x v="0"/>
    <x v="2"/>
    <x v="0"/>
  </r>
  <r>
    <n v="22"/>
    <x v="0"/>
    <x v="1"/>
    <x v="0"/>
    <x v="2"/>
    <x v="1"/>
    <x v="0"/>
    <x v="2"/>
    <x v="0"/>
    <x v="3"/>
    <x v="1"/>
    <x v="1"/>
    <x v="1"/>
  </r>
  <r>
    <n v="22"/>
    <x v="0"/>
    <x v="0"/>
    <x v="2"/>
    <x v="0"/>
    <x v="9"/>
    <x v="0"/>
    <x v="1"/>
    <x v="1"/>
    <x v="3"/>
    <x v="4"/>
    <x v="3"/>
    <x v="0"/>
  </r>
  <r>
    <n v="40"/>
    <x v="1"/>
    <x v="1"/>
    <x v="1"/>
    <x v="1"/>
    <x v="3"/>
    <x v="0"/>
    <x v="2"/>
    <x v="3"/>
    <x v="1"/>
    <x v="2"/>
    <x v="4"/>
    <x v="1"/>
  </r>
  <r>
    <n v="60"/>
    <x v="3"/>
    <x v="0"/>
    <x v="1"/>
    <x v="1"/>
    <x v="6"/>
    <x v="0"/>
    <x v="1"/>
    <x v="2"/>
    <x v="3"/>
    <x v="2"/>
    <x v="0"/>
    <x v="0"/>
  </r>
  <r>
    <n v="22"/>
    <x v="0"/>
    <x v="0"/>
    <x v="0"/>
    <x v="2"/>
    <x v="1"/>
    <x v="0"/>
    <x v="2"/>
    <x v="2"/>
    <x v="4"/>
    <x v="3"/>
    <x v="1"/>
    <x v="0"/>
  </r>
  <r>
    <n v="55"/>
    <x v="3"/>
    <x v="0"/>
    <x v="0"/>
    <x v="0"/>
    <x v="11"/>
    <x v="2"/>
    <x v="0"/>
    <x v="0"/>
    <x v="0"/>
    <x v="1"/>
    <x v="0"/>
    <x v="0"/>
  </r>
  <r>
    <n v="25"/>
    <x v="0"/>
    <x v="0"/>
    <x v="1"/>
    <x v="2"/>
    <x v="11"/>
    <x v="0"/>
    <x v="1"/>
    <x v="1"/>
    <x v="0"/>
    <x v="1"/>
    <x v="3"/>
    <x v="0"/>
  </r>
  <r>
    <n v="40"/>
    <x v="1"/>
    <x v="0"/>
    <x v="0"/>
    <x v="1"/>
    <x v="2"/>
    <x v="0"/>
    <x v="1"/>
    <x v="0"/>
    <x v="2"/>
    <x v="2"/>
    <x v="0"/>
    <x v="1"/>
  </r>
  <r>
    <n v="22"/>
    <x v="0"/>
    <x v="1"/>
    <x v="0"/>
    <x v="2"/>
    <x v="2"/>
    <x v="0"/>
    <x v="1"/>
    <x v="1"/>
    <x v="1"/>
    <x v="1"/>
    <x v="2"/>
    <x v="1"/>
  </r>
  <r>
    <n v="50"/>
    <x v="1"/>
    <x v="1"/>
    <x v="0"/>
    <x v="2"/>
    <x v="7"/>
    <x v="1"/>
    <x v="2"/>
    <x v="4"/>
    <x v="3"/>
    <x v="1"/>
    <x v="0"/>
    <x v="0"/>
  </r>
  <r>
    <n v="30"/>
    <x v="0"/>
    <x v="1"/>
    <x v="0"/>
    <x v="2"/>
    <x v="10"/>
    <x v="0"/>
    <x v="1"/>
    <x v="1"/>
    <x v="1"/>
    <x v="1"/>
    <x v="0"/>
    <x v="1"/>
  </r>
  <r>
    <n v="35"/>
    <x v="1"/>
    <x v="1"/>
    <x v="0"/>
    <x v="1"/>
    <x v="6"/>
    <x v="0"/>
    <x v="1"/>
    <x v="1"/>
    <x v="2"/>
    <x v="3"/>
    <x v="1"/>
    <x v="0"/>
  </r>
  <r>
    <n v="25"/>
    <x v="0"/>
    <x v="1"/>
    <x v="2"/>
    <x v="1"/>
    <x v="4"/>
    <x v="1"/>
    <x v="1"/>
    <x v="2"/>
    <x v="0"/>
    <x v="1"/>
    <x v="0"/>
    <x v="0"/>
  </r>
  <r>
    <n v="25"/>
    <x v="0"/>
    <x v="1"/>
    <x v="0"/>
    <x v="2"/>
    <x v="9"/>
    <x v="0"/>
    <x v="2"/>
    <x v="3"/>
    <x v="2"/>
    <x v="0"/>
    <x v="4"/>
    <x v="1"/>
  </r>
  <r>
    <n v="25"/>
    <x v="0"/>
    <x v="1"/>
    <x v="2"/>
    <x v="1"/>
    <x v="3"/>
    <x v="2"/>
    <x v="0"/>
    <x v="0"/>
    <x v="3"/>
    <x v="1"/>
    <x v="3"/>
    <x v="0"/>
  </r>
  <r>
    <n v="35"/>
    <x v="1"/>
    <x v="0"/>
    <x v="1"/>
    <x v="1"/>
    <x v="9"/>
    <x v="0"/>
    <x v="2"/>
    <x v="1"/>
    <x v="2"/>
    <x v="4"/>
    <x v="4"/>
    <x v="0"/>
  </r>
  <r>
    <n v="18"/>
    <x v="2"/>
    <x v="0"/>
    <x v="3"/>
    <x v="0"/>
    <x v="2"/>
    <x v="1"/>
    <x v="1"/>
    <x v="2"/>
    <x v="4"/>
    <x v="4"/>
    <x v="1"/>
    <x v="0"/>
  </r>
  <r>
    <n v="45"/>
    <x v="1"/>
    <x v="0"/>
    <x v="2"/>
    <x v="1"/>
    <x v="6"/>
    <x v="0"/>
    <x v="2"/>
    <x v="0"/>
    <x v="0"/>
    <x v="1"/>
    <x v="0"/>
    <x v="0"/>
  </r>
  <r>
    <n v="25"/>
    <x v="0"/>
    <x v="0"/>
    <x v="0"/>
    <x v="1"/>
    <x v="5"/>
    <x v="0"/>
    <x v="1"/>
    <x v="3"/>
    <x v="1"/>
    <x v="0"/>
    <x v="2"/>
    <x v="1"/>
  </r>
  <r>
    <n v="25"/>
    <x v="0"/>
    <x v="1"/>
    <x v="1"/>
    <x v="1"/>
    <x v="10"/>
    <x v="1"/>
    <x v="2"/>
    <x v="2"/>
    <x v="4"/>
    <x v="1"/>
    <x v="0"/>
    <x v="0"/>
  </r>
  <r>
    <n v="25"/>
    <x v="0"/>
    <x v="1"/>
    <x v="3"/>
    <x v="1"/>
    <x v="9"/>
    <x v="0"/>
    <x v="2"/>
    <x v="3"/>
    <x v="4"/>
    <x v="2"/>
    <x v="2"/>
    <x v="0"/>
  </r>
  <r>
    <n v="18"/>
    <x v="2"/>
    <x v="1"/>
    <x v="1"/>
    <x v="2"/>
    <x v="11"/>
    <x v="0"/>
    <x v="2"/>
    <x v="3"/>
    <x v="0"/>
    <x v="2"/>
    <x v="3"/>
    <x v="0"/>
  </r>
  <r>
    <n v="45"/>
    <x v="1"/>
    <x v="0"/>
    <x v="1"/>
    <x v="1"/>
    <x v="1"/>
    <x v="0"/>
    <x v="2"/>
    <x v="0"/>
    <x v="1"/>
    <x v="1"/>
    <x v="1"/>
    <x v="1"/>
  </r>
  <r>
    <n v="22"/>
    <x v="0"/>
    <x v="0"/>
    <x v="3"/>
    <x v="0"/>
    <x v="9"/>
    <x v="0"/>
    <x v="1"/>
    <x v="1"/>
    <x v="2"/>
    <x v="0"/>
    <x v="2"/>
    <x v="1"/>
  </r>
  <r>
    <n v="35"/>
    <x v="1"/>
    <x v="0"/>
    <x v="0"/>
    <x v="2"/>
    <x v="0"/>
    <x v="1"/>
    <x v="2"/>
    <x v="4"/>
    <x v="3"/>
    <x v="1"/>
    <x v="2"/>
    <x v="0"/>
  </r>
  <r>
    <n v="60"/>
    <x v="3"/>
    <x v="1"/>
    <x v="1"/>
    <x v="1"/>
    <x v="9"/>
    <x v="0"/>
    <x v="2"/>
    <x v="3"/>
    <x v="0"/>
    <x v="1"/>
    <x v="1"/>
    <x v="0"/>
  </r>
  <r>
    <n v="25"/>
    <x v="0"/>
    <x v="1"/>
    <x v="2"/>
    <x v="1"/>
    <x v="9"/>
    <x v="2"/>
    <x v="2"/>
    <x v="2"/>
    <x v="4"/>
    <x v="3"/>
    <x v="3"/>
    <x v="0"/>
  </r>
  <r>
    <n v="18"/>
    <x v="2"/>
    <x v="0"/>
    <x v="3"/>
    <x v="2"/>
    <x v="10"/>
    <x v="0"/>
    <x v="1"/>
    <x v="3"/>
    <x v="3"/>
    <x v="2"/>
    <x v="0"/>
    <x v="1"/>
  </r>
  <r>
    <n v="40"/>
    <x v="1"/>
    <x v="1"/>
    <x v="3"/>
    <x v="2"/>
    <x v="3"/>
    <x v="0"/>
    <x v="1"/>
    <x v="3"/>
    <x v="2"/>
    <x v="1"/>
    <x v="1"/>
    <x v="1"/>
  </r>
  <r>
    <n v="50"/>
    <x v="1"/>
    <x v="1"/>
    <x v="0"/>
    <x v="0"/>
    <x v="11"/>
    <x v="2"/>
    <x v="0"/>
    <x v="0"/>
    <x v="2"/>
    <x v="1"/>
    <x v="3"/>
    <x v="0"/>
  </r>
  <r>
    <n v="25"/>
    <x v="0"/>
    <x v="1"/>
    <x v="2"/>
    <x v="1"/>
    <x v="11"/>
    <x v="0"/>
    <x v="2"/>
    <x v="0"/>
    <x v="1"/>
    <x v="3"/>
    <x v="2"/>
    <x v="0"/>
  </r>
  <r>
    <n v="30"/>
    <x v="0"/>
    <x v="0"/>
    <x v="0"/>
    <x v="1"/>
    <x v="1"/>
    <x v="0"/>
    <x v="1"/>
    <x v="1"/>
    <x v="2"/>
    <x v="2"/>
    <x v="1"/>
    <x v="1"/>
  </r>
  <r>
    <n v="30"/>
    <x v="0"/>
    <x v="0"/>
    <x v="0"/>
    <x v="1"/>
    <x v="0"/>
    <x v="0"/>
    <x v="2"/>
    <x v="3"/>
    <x v="2"/>
    <x v="2"/>
    <x v="0"/>
    <x v="1"/>
  </r>
  <r>
    <n v="50"/>
    <x v="1"/>
    <x v="1"/>
    <x v="1"/>
    <x v="0"/>
    <x v="11"/>
    <x v="1"/>
    <x v="1"/>
    <x v="4"/>
    <x v="3"/>
    <x v="3"/>
    <x v="1"/>
    <x v="0"/>
  </r>
  <r>
    <n v="40"/>
    <x v="1"/>
    <x v="1"/>
    <x v="1"/>
    <x v="1"/>
    <x v="11"/>
    <x v="0"/>
    <x v="2"/>
    <x v="2"/>
    <x v="3"/>
    <x v="4"/>
    <x v="3"/>
    <x v="0"/>
  </r>
  <r>
    <n v="22"/>
    <x v="0"/>
    <x v="1"/>
    <x v="2"/>
    <x v="1"/>
    <x v="5"/>
    <x v="0"/>
    <x v="1"/>
    <x v="1"/>
    <x v="4"/>
    <x v="3"/>
    <x v="2"/>
    <x v="0"/>
  </r>
  <r>
    <n v="35"/>
    <x v="1"/>
    <x v="0"/>
    <x v="0"/>
    <x v="1"/>
    <x v="7"/>
    <x v="0"/>
    <x v="0"/>
    <x v="2"/>
    <x v="4"/>
    <x v="4"/>
    <x v="1"/>
    <x v="0"/>
  </r>
  <r>
    <n v="22"/>
    <x v="0"/>
    <x v="0"/>
    <x v="3"/>
    <x v="0"/>
    <x v="3"/>
    <x v="0"/>
    <x v="2"/>
    <x v="3"/>
    <x v="0"/>
    <x v="2"/>
    <x v="4"/>
    <x v="0"/>
  </r>
  <r>
    <n v="22"/>
    <x v="0"/>
    <x v="0"/>
    <x v="3"/>
    <x v="0"/>
    <x v="9"/>
    <x v="1"/>
    <x v="1"/>
    <x v="4"/>
    <x v="3"/>
    <x v="3"/>
    <x v="3"/>
    <x v="0"/>
  </r>
  <r>
    <n v="25"/>
    <x v="0"/>
    <x v="1"/>
    <x v="1"/>
    <x v="1"/>
    <x v="11"/>
    <x v="1"/>
    <x v="1"/>
    <x v="0"/>
    <x v="1"/>
    <x v="4"/>
    <x v="1"/>
    <x v="0"/>
  </r>
  <r>
    <n v="45"/>
    <x v="1"/>
    <x v="0"/>
    <x v="0"/>
    <x v="2"/>
    <x v="2"/>
    <x v="0"/>
    <x v="2"/>
    <x v="3"/>
    <x v="1"/>
    <x v="3"/>
    <x v="1"/>
    <x v="0"/>
  </r>
  <r>
    <n v="50"/>
    <x v="1"/>
    <x v="0"/>
    <x v="0"/>
    <x v="1"/>
    <x v="0"/>
    <x v="0"/>
    <x v="1"/>
    <x v="0"/>
    <x v="3"/>
    <x v="0"/>
    <x v="0"/>
    <x v="1"/>
  </r>
  <r>
    <n v="22"/>
    <x v="0"/>
    <x v="0"/>
    <x v="0"/>
    <x v="0"/>
    <x v="9"/>
    <x v="0"/>
    <x v="1"/>
    <x v="0"/>
    <x v="2"/>
    <x v="3"/>
    <x v="1"/>
    <x v="0"/>
  </r>
  <r>
    <n v="30"/>
    <x v="0"/>
    <x v="1"/>
    <x v="3"/>
    <x v="1"/>
    <x v="3"/>
    <x v="0"/>
    <x v="1"/>
    <x v="3"/>
    <x v="3"/>
    <x v="4"/>
    <x v="1"/>
    <x v="0"/>
  </r>
  <r>
    <n v="22"/>
    <x v="0"/>
    <x v="0"/>
    <x v="0"/>
    <x v="1"/>
    <x v="4"/>
    <x v="0"/>
    <x v="1"/>
    <x v="1"/>
    <x v="4"/>
    <x v="1"/>
    <x v="2"/>
    <x v="0"/>
  </r>
  <r>
    <n v="18"/>
    <x v="2"/>
    <x v="1"/>
    <x v="1"/>
    <x v="2"/>
    <x v="1"/>
    <x v="0"/>
    <x v="2"/>
    <x v="2"/>
    <x v="0"/>
    <x v="3"/>
    <x v="3"/>
    <x v="0"/>
  </r>
  <r>
    <n v="30"/>
    <x v="0"/>
    <x v="0"/>
    <x v="0"/>
    <x v="2"/>
    <x v="3"/>
    <x v="0"/>
    <x v="1"/>
    <x v="0"/>
    <x v="3"/>
    <x v="2"/>
    <x v="2"/>
    <x v="1"/>
  </r>
  <r>
    <n v="25"/>
    <x v="0"/>
    <x v="1"/>
    <x v="1"/>
    <x v="0"/>
    <x v="6"/>
    <x v="0"/>
    <x v="1"/>
    <x v="1"/>
    <x v="1"/>
    <x v="3"/>
    <x v="1"/>
    <x v="0"/>
  </r>
  <r>
    <n v="25"/>
    <x v="0"/>
    <x v="1"/>
    <x v="3"/>
    <x v="1"/>
    <x v="9"/>
    <x v="0"/>
    <x v="2"/>
    <x v="3"/>
    <x v="1"/>
    <x v="0"/>
    <x v="2"/>
    <x v="1"/>
  </r>
  <r>
    <n v="35"/>
    <x v="1"/>
    <x v="1"/>
    <x v="2"/>
    <x v="1"/>
    <x v="1"/>
    <x v="0"/>
    <x v="2"/>
    <x v="0"/>
    <x v="2"/>
    <x v="2"/>
    <x v="4"/>
    <x v="1"/>
  </r>
  <r>
    <n v="50"/>
    <x v="1"/>
    <x v="1"/>
    <x v="2"/>
    <x v="1"/>
    <x v="1"/>
    <x v="0"/>
    <x v="2"/>
    <x v="2"/>
    <x v="4"/>
    <x v="2"/>
    <x v="4"/>
    <x v="0"/>
  </r>
  <r>
    <n v="60"/>
    <x v="3"/>
    <x v="0"/>
    <x v="2"/>
    <x v="1"/>
    <x v="9"/>
    <x v="0"/>
    <x v="1"/>
    <x v="3"/>
    <x v="3"/>
    <x v="1"/>
    <x v="3"/>
    <x v="1"/>
  </r>
  <r>
    <n v="22"/>
    <x v="0"/>
    <x v="1"/>
    <x v="0"/>
    <x v="0"/>
    <x v="2"/>
    <x v="1"/>
    <x v="1"/>
    <x v="2"/>
    <x v="4"/>
    <x v="3"/>
    <x v="4"/>
    <x v="0"/>
  </r>
  <r>
    <n v="22"/>
    <x v="0"/>
    <x v="0"/>
    <x v="0"/>
    <x v="0"/>
    <x v="8"/>
    <x v="1"/>
    <x v="1"/>
    <x v="2"/>
    <x v="4"/>
    <x v="4"/>
    <x v="0"/>
    <x v="0"/>
  </r>
  <r>
    <n v="30"/>
    <x v="0"/>
    <x v="1"/>
    <x v="0"/>
    <x v="0"/>
    <x v="9"/>
    <x v="1"/>
    <x v="2"/>
    <x v="4"/>
    <x v="0"/>
    <x v="4"/>
    <x v="3"/>
    <x v="0"/>
  </r>
  <r>
    <n v="35"/>
    <x v="1"/>
    <x v="1"/>
    <x v="0"/>
    <x v="2"/>
    <x v="5"/>
    <x v="2"/>
    <x v="1"/>
    <x v="4"/>
    <x v="4"/>
    <x v="4"/>
    <x v="1"/>
    <x v="0"/>
  </r>
  <r>
    <n v="18"/>
    <x v="2"/>
    <x v="1"/>
    <x v="2"/>
    <x v="2"/>
    <x v="4"/>
    <x v="1"/>
    <x v="1"/>
    <x v="0"/>
    <x v="0"/>
    <x v="4"/>
    <x v="1"/>
    <x v="0"/>
  </r>
  <r>
    <n v="25"/>
    <x v="0"/>
    <x v="1"/>
    <x v="3"/>
    <x v="1"/>
    <x v="1"/>
    <x v="0"/>
    <x v="1"/>
    <x v="3"/>
    <x v="3"/>
    <x v="2"/>
    <x v="0"/>
    <x v="1"/>
  </r>
  <r>
    <n v="22"/>
    <x v="0"/>
    <x v="1"/>
    <x v="1"/>
    <x v="0"/>
    <x v="6"/>
    <x v="1"/>
    <x v="2"/>
    <x v="4"/>
    <x v="0"/>
    <x v="4"/>
    <x v="4"/>
    <x v="0"/>
  </r>
  <r>
    <n v="35"/>
    <x v="1"/>
    <x v="1"/>
    <x v="3"/>
    <x v="1"/>
    <x v="9"/>
    <x v="0"/>
    <x v="1"/>
    <x v="4"/>
    <x v="4"/>
    <x v="1"/>
    <x v="2"/>
    <x v="0"/>
  </r>
  <r>
    <n v="35"/>
    <x v="1"/>
    <x v="0"/>
    <x v="0"/>
    <x v="2"/>
    <x v="11"/>
    <x v="1"/>
    <x v="1"/>
    <x v="0"/>
    <x v="3"/>
    <x v="4"/>
    <x v="3"/>
    <x v="0"/>
  </r>
  <r>
    <n v="25"/>
    <x v="0"/>
    <x v="0"/>
    <x v="1"/>
    <x v="1"/>
    <x v="10"/>
    <x v="0"/>
    <x v="2"/>
    <x v="0"/>
    <x v="2"/>
    <x v="2"/>
    <x v="4"/>
    <x v="1"/>
  </r>
  <r>
    <n v="55"/>
    <x v="3"/>
    <x v="1"/>
    <x v="0"/>
    <x v="0"/>
    <x v="10"/>
    <x v="0"/>
    <x v="1"/>
    <x v="2"/>
    <x v="0"/>
    <x v="2"/>
    <x v="0"/>
    <x v="0"/>
  </r>
  <r>
    <n v="25"/>
    <x v="0"/>
    <x v="1"/>
    <x v="0"/>
    <x v="0"/>
    <x v="7"/>
    <x v="0"/>
    <x v="0"/>
    <x v="3"/>
    <x v="2"/>
    <x v="2"/>
    <x v="0"/>
    <x v="0"/>
  </r>
  <r>
    <n v="55"/>
    <x v="3"/>
    <x v="0"/>
    <x v="0"/>
    <x v="2"/>
    <x v="11"/>
    <x v="2"/>
    <x v="2"/>
    <x v="4"/>
    <x v="3"/>
    <x v="3"/>
    <x v="3"/>
    <x v="0"/>
  </r>
  <r>
    <n v="30"/>
    <x v="0"/>
    <x v="0"/>
    <x v="1"/>
    <x v="1"/>
    <x v="4"/>
    <x v="0"/>
    <x v="1"/>
    <x v="1"/>
    <x v="1"/>
    <x v="3"/>
    <x v="2"/>
    <x v="0"/>
  </r>
  <r>
    <n v="45"/>
    <x v="1"/>
    <x v="0"/>
    <x v="3"/>
    <x v="2"/>
    <x v="5"/>
    <x v="0"/>
    <x v="0"/>
    <x v="0"/>
    <x v="2"/>
    <x v="2"/>
    <x v="1"/>
    <x v="0"/>
  </r>
  <r>
    <n v="22"/>
    <x v="0"/>
    <x v="1"/>
    <x v="3"/>
    <x v="2"/>
    <x v="1"/>
    <x v="0"/>
    <x v="2"/>
    <x v="4"/>
    <x v="0"/>
    <x v="3"/>
    <x v="1"/>
    <x v="0"/>
  </r>
  <r>
    <n v="22"/>
    <x v="0"/>
    <x v="0"/>
    <x v="0"/>
    <x v="2"/>
    <x v="9"/>
    <x v="0"/>
    <x v="2"/>
    <x v="1"/>
    <x v="2"/>
    <x v="0"/>
    <x v="4"/>
    <x v="1"/>
  </r>
  <r>
    <n v="30"/>
    <x v="0"/>
    <x v="1"/>
    <x v="3"/>
    <x v="1"/>
    <x v="2"/>
    <x v="2"/>
    <x v="2"/>
    <x v="2"/>
    <x v="4"/>
    <x v="1"/>
    <x v="0"/>
    <x v="0"/>
  </r>
  <r>
    <n v="22"/>
    <x v="0"/>
    <x v="0"/>
    <x v="0"/>
    <x v="1"/>
    <x v="3"/>
    <x v="0"/>
    <x v="1"/>
    <x v="0"/>
    <x v="4"/>
    <x v="2"/>
    <x v="2"/>
    <x v="0"/>
  </r>
  <r>
    <n v="30"/>
    <x v="0"/>
    <x v="1"/>
    <x v="2"/>
    <x v="2"/>
    <x v="3"/>
    <x v="0"/>
    <x v="2"/>
    <x v="1"/>
    <x v="3"/>
    <x v="1"/>
    <x v="3"/>
    <x v="1"/>
  </r>
  <r>
    <n v="50"/>
    <x v="1"/>
    <x v="0"/>
    <x v="0"/>
    <x v="2"/>
    <x v="11"/>
    <x v="0"/>
    <x v="2"/>
    <x v="1"/>
    <x v="1"/>
    <x v="2"/>
    <x v="3"/>
    <x v="1"/>
  </r>
  <r>
    <n v="30"/>
    <x v="0"/>
    <x v="1"/>
    <x v="3"/>
    <x v="2"/>
    <x v="8"/>
    <x v="1"/>
    <x v="2"/>
    <x v="4"/>
    <x v="0"/>
    <x v="3"/>
    <x v="1"/>
    <x v="0"/>
  </r>
  <r>
    <n v="55"/>
    <x v="3"/>
    <x v="1"/>
    <x v="0"/>
    <x v="2"/>
    <x v="3"/>
    <x v="1"/>
    <x v="1"/>
    <x v="0"/>
    <x v="2"/>
    <x v="4"/>
    <x v="2"/>
    <x v="0"/>
  </r>
  <r>
    <n v="30"/>
    <x v="0"/>
    <x v="1"/>
    <x v="3"/>
    <x v="1"/>
    <x v="7"/>
    <x v="0"/>
    <x v="2"/>
    <x v="0"/>
    <x v="2"/>
    <x v="0"/>
    <x v="1"/>
    <x v="1"/>
  </r>
  <r>
    <n v="30"/>
    <x v="0"/>
    <x v="0"/>
    <x v="1"/>
    <x v="2"/>
    <x v="11"/>
    <x v="0"/>
    <x v="2"/>
    <x v="1"/>
    <x v="1"/>
    <x v="2"/>
    <x v="3"/>
    <x v="1"/>
  </r>
  <r>
    <n v="18"/>
    <x v="2"/>
    <x v="1"/>
    <x v="2"/>
    <x v="1"/>
    <x v="3"/>
    <x v="0"/>
    <x v="1"/>
    <x v="3"/>
    <x v="3"/>
    <x v="1"/>
    <x v="4"/>
    <x v="1"/>
  </r>
  <r>
    <n v="25"/>
    <x v="0"/>
    <x v="0"/>
    <x v="3"/>
    <x v="2"/>
    <x v="3"/>
    <x v="0"/>
    <x v="1"/>
    <x v="0"/>
    <x v="1"/>
    <x v="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0550E-1F11-40F2-819A-8853DB7A656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8:B101" firstHeaderRow="1" firstDataRow="1" firstDataCol="1"/>
  <pivotFields count="13">
    <pivotField showAll="0"/>
    <pivotField showAll="0"/>
    <pivotField showAll="0">
      <items count="3">
        <item x="0"/>
        <item x="1"/>
        <item t="default"/>
      </items>
    </pivotField>
    <pivotField showAll="0">
      <items count="5">
        <item x="0"/>
        <item x="1"/>
        <item x="3"/>
        <item x="2"/>
        <item t="default"/>
      </items>
    </pivotField>
    <pivotField showAll="0">
      <items count="4">
        <item x="0"/>
        <item x="2"/>
        <item x="1"/>
        <item t="default"/>
      </items>
    </pivotField>
    <pivotField axis="axisRow" dataField="1" showAll="0">
      <items count="13">
        <item x="7"/>
        <item x="0"/>
        <item x="1"/>
        <item x="3"/>
        <item x="9"/>
        <item x="10"/>
        <item x="2"/>
        <item x="11"/>
        <item x="8"/>
        <item x="4"/>
        <item x="5"/>
        <item x="6"/>
        <item t="default"/>
      </items>
    </pivotField>
    <pivotField showAll="0"/>
    <pivotField showAll="0"/>
    <pivotField showAll="0">
      <items count="6">
        <item x="1"/>
        <item x="2"/>
        <item x="0"/>
        <item x="3"/>
        <item x="4"/>
        <item t="default"/>
      </items>
    </pivotField>
    <pivotField showAll="0">
      <items count="6">
        <item x="4"/>
        <item x="1"/>
        <item x="3"/>
        <item x="0"/>
        <item x="2"/>
        <item t="default"/>
      </items>
    </pivotField>
    <pivotField showAll="0">
      <items count="6">
        <item x="2"/>
        <item x="4"/>
        <item x="1"/>
        <item x="0"/>
        <item x="3"/>
        <item t="default"/>
      </items>
    </pivotField>
    <pivotField showAll="0">
      <items count="6">
        <item x="1"/>
        <item x="4"/>
        <item x="2"/>
        <item x="3"/>
        <item x="0"/>
        <item t="default"/>
      </items>
    </pivotField>
    <pivotField showAll="0">
      <items count="3">
        <item x="0"/>
        <item x="1"/>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Count of Distric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399909-291A-40A6-A324-B89014D3938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0:E55" firstHeaderRow="1" firstDataRow="2" firstDataCol="1"/>
  <pivotFields count="13">
    <pivotField showAll="0"/>
    <pivotField showAll="0"/>
    <pivotField showAll="0">
      <items count="3">
        <item x="0"/>
        <item x="1"/>
        <item t="default"/>
      </items>
    </pivotField>
    <pivotField showAll="0">
      <items count="5">
        <item x="0"/>
        <item x="1"/>
        <item x="3"/>
        <item x="2"/>
        <item t="default"/>
      </items>
    </pivotField>
    <pivotField axis="axisCol" showAll="0">
      <items count="4">
        <item x="0"/>
        <item x="2"/>
        <item x="1"/>
        <item t="default"/>
      </items>
    </pivotField>
    <pivotField showAll="0"/>
    <pivotField axis="axisRow" dataField="1" showAll="0">
      <items count="4">
        <item x="1"/>
        <item x="2"/>
        <item x="0"/>
        <item t="default"/>
      </items>
    </pivotField>
    <pivotField showAll="0"/>
    <pivotField showAll="0">
      <items count="6">
        <item x="1"/>
        <item x="2"/>
        <item x="0"/>
        <item x="3"/>
        <item x="4"/>
        <item t="default"/>
      </items>
    </pivotField>
    <pivotField showAll="0">
      <items count="6">
        <item x="4"/>
        <item x="1"/>
        <item x="3"/>
        <item x="0"/>
        <item x="2"/>
        <item t="default"/>
      </items>
    </pivotField>
    <pivotField showAll="0">
      <items count="6">
        <item x="2"/>
        <item x="4"/>
        <item x="1"/>
        <item x="0"/>
        <item x="3"/>
        <item t="default"/>
      </items>
    </pivotField>
    <pivotField showAll="0">
      <items count="6">
        <item x="1"/>
        <item x="4"/>
        <item x="2"/>
        <item x="3"/>
        <item x="0"/>
        <item t="default"/>
      </items>
    </pivotField>
    <pivotField showAll="0"/>
  </pivotFields>
  <rowFields count="1">
    <field x="6"/>
  </rowFields>
  <rowItems count="4">
    <i>
      <x/>
    </i>
    <i>
      <x v="1"/>
    </i>
    <i>
      <x v="2"/>
    </i>
    <i t="grand">
      <x/>
    </i>
  </rowItems>
  <colFields count="1">
    <field x="4"/>
  </colFields>
  <colItems count="4">
    <i>
      <x/>
    </i>
    <i>
      <x v="1"/>
    </i>
    <i>
      <x v="2"/>
    </i>
    <i t="grand">
      <x/>
    </i>
  </colItems>
  <dataFields count="1">
    <dataField name="Count of Device Type" fld="6"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A795D-ABD2-47FD-B21B-9655FAB4E07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E38" firstHeaderRow="1" firstDataRow="2" firstDataCol="1"/>
  <pivotFields count="13">
    <pivotField showAll="0"/>
    <pivotField showAll="0"/>
    <pivotField showAll="0">
      <items count="3">
        <item x="0"/>
        <item x="1"/>
        <item t="default"/>
      </items>
    </pivotField>
    <pivotField showAll="0">
      <items count="5">
        <item x="0"/>
        <item x="1"/>
        <item x="3"/>
        <item x="2"/>
        <item t="default"/>
      </items>
    </pivotField>
    <pivotField showAll="0"/>
    <pivotField axis="axisRow" showAll="0">
      <items count="13">
        <item x="7"/>
        <item x="0"/>
        <item x="1"/>
        <item x="3"/>
        <item x="9"/>
        <item x="10"/>
        <item x="2"/>
        <item x="11"/>
        <item x="8"/>
        <item x="4"/>
        <item x="5"/>
        <item x="6"/>
        <item t="default"/>
      </items>
    </pivotField>
    <pivotField showAll="0"/>
    <pivotField axis="axisCol" dataField="1" showAll="0">
      <items count="4">
        <item x="1"/>
        <item x="0"/>
        <item x="2"/>
        <item t="default"/>
      </items>
    </pivotField>
    <pivotField showAll="0">
      <items count="6">
        <item x="1"/>
        <item x="2"/>
        <item x="0"/>
        <item x="3"/>
        <item x="4"/>
        <item t="default"/>
      </items>
    </pivotField>
    <pivotField showAll="0">
      <items count="6">
        <item x="4"/>
        <item x="1"/>
        <item x="3"/>
        <item x="0"/>
        <item x="2"/>
        <item t="default"/>
      </items>
    </pivotField>
    <pivotField showAll="0">
      <items count="6">
        <item x="2"/>
        <item x="4"/>
        <item x="1"/>
        <item x="0"/>
        <item x="3"/>
        <item t="default"/>
      </items>
    </pivotField>
    <pivotField showAll="0">
      <items count="6">
        <item x="1"/>
        <item x="4"/>
        <item x="2"/>
        <item x="3"/>
        <item x="0"/>
        <item t="default"/>
      </items>
    </pivotField>
    <pivotField showAll="0"/>
  </pivotFields>
  <rowFields count="1">
    <field x="5"/>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Count of Bank Type" fld="7"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2F86D3-915F-4FE8-AF03-0FD73B1E3A0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9" firstHeaderRow="1" firstDataRow="2" firstDataCol="1"/>
  <pivotFields count="13">
    <pivotField showAll="0"/>
    <pivotField axis="axisRow" showAll="0">
      <items count="5">
        <item x="1"/>
        <item x="3"/>
        <item x="2"/>
        <item x="0"/>
        <item t="default"/>
      </items>
    </pivotField>
    <pivotField showAll="0">
      <items count="3">
        <item x="0"/>
        <item x="1"/>
        <item t="default"/>
      </items>
    </pivotField>
    <pivotField showAll="0">
      <items count="5">
        <item x="0"/>
        <item x="1"/>
        <item x="3"/>
        <item x="2"/>
        <item t="default"/>
      </items>
    </pivotField>
    <pivotField showAll="0"/>
    <pivotField showAll="0"/>
    <pivotField showAll="0"/>
    <pivotField showAll="0"/>
    <pivotField showAll="0">
      <items count="6">
        <item x="1"/>
        <item x="2"/>
        <item x="0"/>
        <item x="3"/>
        <item x="4"/>
        <item t="default"/>
      </items>
    </pivotField>
    <pivotField showAll="0">
      <items count="6">
        <item x="4"/>
        <item x="1"/>
        <item x="3"/>
        <item x="0"/>
        <item x="2"/>
        <item t="default"/>
      </items>
    </pivotField>
    <pivotField showAll="0">
      <items count="6">
        <item x="2"/>
        <item x="4"/>
        <item x="1"/>
        <item x="0"/>
        <item x="3"/>
        <item t="default"/>
      </items>
    </pivotField>
    <pivotField showAll="0">
      <items count="6">
        <item x="1"/>
        <item x="4"/>
        <item x="2"/>
        <item x="3"/>
        <item x="0"/>
        <item t="default"/>
      </items>
    </pivotField>
    <pivotField axis="axisCol" dataField="1" showAll="0">
      <items count="3">
        <item x="0"/>
        <item x="1"/>
        <item t="default"/>
      </items>
    </pivotField>
  </pivotFields>
  <rowFields count="1">
    <field x="1"/>
  </rowFields>
  <rowItems count="5">
    <i>
      <x/>
    </i>
    <i>
      <x v="1"/>
    </i>
    <i>
      <x v="2"/>
    </i>
    <i>
      <x v="3"/>
    </i>
    <i t="grand">
      <x/>
    </i>
  </rowItems>
  <colFields count="1">
    <field x="12"/>
  </colFields>
  <colItems count="3">
    <i>
      <x/>
    </i>
    <i>
      <x v="1"/>
    </i>
    <i t="grand">
      <x/>
    </i>
  </colItems>
  <dataFields count="1">
    <dataField name="Count of Uses Mobile Banking?"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BE49F7-B9A5-471D-B9ED-489758B2E2A4}" sourceName="Gender">
  <pivotTables>
    <pivotTable tabId="3" name="PivotTable1"/>
    <pivotTable tabId="3" name="PivotTable2"/>
    <pivotTable tabId="3" name="PivotTable3"/>
    <pivotTable tabId="3" name="PivotTable4"/>
  </pivotTables>
  <data>
    <tabular pivotCacheId="6404127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EDA89042-5253-4EB5-87B4-0949C4A3F74E}" sourceName="Education Level">
  <pivotTables>
    <pivotTable tabId="3" name="PivotTable1"/>
    <pivotTable tabId="3" name="PivotTable2"/>
    <pivotTable tabId="3" name="PivotTable3"/>
    <pivotTable tabId="3" name="PivotTable4"/>
  </pivotTables>
  <data>
    <tabular pivotCacheId="640412743">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st_Level__Very_Low_Very_High" xr10:uid="{290BF82C-EBB7-4542-B083-CE71BC6FABBF}" sourceName="Trust Level (Very Low-Very High)">
  <pivotTables>
    <pivotTable tabId="3" name="PivotTable1"/>
    <pivotTable tabId="3" name="PivotTable2"/>
    <pivotTable tabId="3" name="PivotTable3"/>
    <pivotTable tabId="3" name="PivotTable4"/>
  </pivotTables>
  <data>
    <tabular pivotCacheId="640412743">
      <items count="5">
        <i x="1" s="1"/>
        <i x="2"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vacy_Concern__Very_Low_Very_High" xr10:uid="{6111494E-2F4A-4488-9983-F2EE5D7F3A1D}" sourceName="Privacy Concern (Very Low-Very High)">
  <pivotTables>
    <pivotTable tabId="3" name="PivotTable1"/>
    <pivotTable tabId="3" name="PivotTable2"/>
    <pivotTable tabId="3" name="PivotTable3"/>
    <pivotTable tabId="3" name="PivotTable4"/>
  </pivotTables>
  <data>
    <tabular pivotCacheId="640412743">
      <items count="5">
        <i x="4" s="1"/>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Usability__Very_Low_Very_High" xr10:uid="{1B051DD7-7E33-49ED-AC3C-9522CD9B778F}" sourceName="App Usability (Very Low-Very High)">
  <pivotTables>
    <pivotTable tabId="3" name="PivotTable1"/>
    <pivotTable tabId="3" name="PivotTable2"/>
    <pivotTable tabId="3" name="PivotTable3"/>
    <pivotTable tabId="3" name="PivotTable4"/>
  </pivotTables>
  <data>
    <tabular pivotCacheId="640412743">
      <items count="5">
        <i x="2" s="1"/>
        <i x="4"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eness_Level__Very_Low_Very_High" xr10:uid="{71CAA330-4C9D-4906-95F9-094163A62E76}" sourceName="Awareness Level (Very Low-Very High)">
  <pivotTables>
    <pivotTable tabId="3" name="PivotTable1"/>
    <pivotTable tabId="3" name="PivotTable2"/>
    <pivotTable tabId="3" name="PivotTable3"/>
    <pivotTable tabId="3" name="PivotTable4"/>
  </pivotTables>
  <data>
    <tabular pivotCacheId="640412743">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059512-6334-4968-B741-19F5818C60B2}" cache="Slicer_Gender" caption="Gender" rowHeight="241300"/>
  <slicer name="Education Level" xr10:uid="{5C7F5A3D-D190-492D-8C8B-A6980E059245}" cache="Slicer_Education_Level" caption="Education Level" rowHeight="241300"/>
  <slicer name="Trust Level (Very Low-Very High)" xr10:uid="{1D0939C6-36B8-4D51-81D5-5EBB2ABBFCB0}" cache="Slicer_Trust_Level__Very_Low_Very_High" caption="Trust Level " rowHeight="241300"/>
  <slicer name="Privacy Concern (Very Low-Very High)" xr10:uid="{D43D20A8-484D-4A8F-B863-BBD2228A228D}" cache="Slicer_Privacy_Concern__Very_Low_Very_High" caption="Privacy Concern" rowHeight="241300"/>
  <slicer name="App Usability " xr10:uid="{B429075C-CF18-4DF9-B028-D598F36B9A9B}" cache="Slicer_App_Usability__Very_Low_Very_High" caption="App Usability" rowHeight="241300"/>
  <slicer name="Awareness Level (Very Low-Very High)" xr10:uid="{E2361858-DB4D-4A27-9B98-EC1C439977EC}" cache="Slicer_Awareness_Level__Very_Low_Very_High" caption="Awareness Level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6"/>
  <sheetViews>
    <sheetView topLeftCell="E254" workbookViewId="0">
      <selection sqref="A1:L276"/>
    </sheetView>
  </sheetViews>
  <sheetFormatPr defaultColWidth="11.90625" defaultRowHeight="14.5" x14ac:dyDescent="0.35"/>
  <cols>
    <col min="1" max="1" width="8.453125" bestFit="1" customWidth="1"/>
    <col min="2" max="2" width="11.54296875" bestFit="1" customWidth="1"/>
    <col min="3" max="3" width="18.453125" bestFit="1" customWidth="1"/>
    <col min="4" max="4" width="16.1796875" bestFit="1" customWidth="1"/>
    <col min="5" max="5" width="13.08984375" bestFit="1" customWidth="1"/>
    <col min="6" max="6" width="15.26953125" bestFit="1" customWidth="1"/>
    <col min="7" max="7" width="15.90625" bestFit="1" customWidth="1"/>
    <col min="8" max="8" width="18.81640625" bestFit="1" customWidth="1"/>
    <col min="9" max="9" width="23.1796875" bestFit="1" customWidth="1"/>
    <col min="10" max="10" width="20.81640625" bestFit="1" customWidth="1"/>
    <col min="11" max="11" width="23.6328125" bestFit="1" customWidth="1"/>
    <col min="12" max="12" width="23.72656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22</v>
      </c>
      <c r="B2" t="s">
        <v>12</v>
      </c>
      <c r="C2" t="s">
        <v>14</v>
      </c>
      <c r="D2" t="s">
        <v>18</v>
      </c>
      <c r="E2" t="s">
        <v>21</v>
      </c>
      <c r="F2" t="s">
        <v>33</v>
      </c>
      <c r="G2" t="s">
        <v>36</v>
      </c>
      <c r="H2">
        <v>3</v>
      </c>
      <c r="I2">
        <v>5</v>
      </c>
      <c r="J2">
        <v>5</v>
      </c>
      <c r="K2">
        <v>1</v>
      </c>
      <c r="L2" t="s">
        <v>39</v>
      </c>
    </row>
    <row r="3" spans="1:12" x14ac:dyDescent="0.35">
      <c r="A3">
        <v>25</v>
      </c>
      <c r="B3" t="s">
        <v>12</v>
      </c>
      <c r="C3" t="s">
        <v>14</v>
      </c>
      <c r="D3" t="s">
        <v>19</v>
      </c>
      <c r="E3" t="s">
        <v>22</v>
      </c>
      <c r="F3" t="s">
        <v>33</v>
      </c>
      <c r="G3" t="s">
        <v>37</v>
      </c>
      <c r="H3">
        <v>3</v>
      </c>
      <c r="I3">
        <v>2</v>
      </c>
      <c r="J3">
        <v>3</v>
      </c>
      <c r="K3">
        <v>4</v>
      </c>
      <c r="L3" t="s">
        <v>40</v>
      </c>
    </row>
    <row r="4" spans="1:12" x14ac:dyDescent="0.35">
      <c r="A4">
        <v>25</v>
      </c>
      <c r="B4" t="s">
        <v>12</v>
      </c>
      <c r="C4" t="s">
        <v>15</v>
      </c>
      <c r="D4" t="s">
        <v>19</v>
      </c>
      <c r="E4" t="s">
        <v>23</v>
      </c>
      <c r="F4" t="s">
        <v>33</v>
      </c>
      <c r="G4" t="s">
        <v>37</v>
      </c>
      <c r="H4">
        <v>4</v>
      </c>
      <c r="I4">
        <v>1</v>
      </c>
      <c r="J4">
        <v>4</v>
      </c>
      <c r="K4">
        <v>3</v>
      </c>
      <c r="L4" t="s">
        <v>40</v>
      </c>
    </row>
    <row r="5" spans="1:12" x14ac:dyDescent="0.35">
      <c r="A5">
        <v>25</v>
      </c>
      <c r="B5" t="s">
        <v>13</v>
      </c>
      <c r="C5" t="s">
        <v>16</v>
      </c>
      <c r="D5" t="s">
        <v>20</v>
      </c>
      <c r="E5" t="s">
        <v>24</v>
      </c>
      <c r="F5" t="s">
        <v>33</v>
      </c>
      <c r="G5" t="s">
        <v>36</v>
      </c>
      <c r="H5">
        <v>3</v>
      </c>
      <c r="I5">
        <v>1</v>
      </c>
      <c r="J5">
        <v>1</v>
      </c>
      <c r="K5">
        <v>5</v>
      </c>
      <c r="L5" t="s">
        <v>39</v>
      </c>
    </row>
    <row r="6" spans="1:12" x14ac:dyDescent="0.35">
      <c r="A6">
        <v>45</v>
      </c>
      <c r="B6" t="s">
        <v>12</v>
      </c>
      <c r="C6" t="s">
        <v>15</v>
      </c>
      <c r="D6" t="s">
        <v>19</v>
      </c>
      <c r="E6" t="s">
        <v>25</v>
      </c>
      <c r="F6" t="s">
        <v>33</v>
      </c>
      <c r="G6" t="s">
        <v>37</v>
      </c>
      <c r="H6">
        <v>3</v>
      </c>
      <c r="I6">
        <v>1</v>
      </c>
      <c r="J6">
        <v>4</v>
      </c>
      <c r="K6">
        <v>2</v>
      </c>
      <c r="L6" t="s">
        <v>40</v>
      </c>
    </row>
    <row r="7" spans="1:12" x14ac:dyDescent="0.35">
      <c r="A7">
        <v>35</v>
      </c>
      <c r="B7" t="s">
        <v>13</v>
      </c>
      <c r="C7" t="s">
        <v>15</v>
      </c>
      <c r="D7" t="s">
        <v>18</v>
      </c>
      <c r="E7" t="s">
        <v>23</v>
      </c>
      <c r="F7" t="s">
        <v>33</v>
      </c>
      <c r="G7" t="s">
        <v>38</v>
      </c>
      <c r="H7">
        <v>4</v>
      </c>
      <c r="I7">
        <v>3</v>
      </c>
      <c r="J7">
        <v>4</v>
      </c>
      <c r="K7">
        <v>4</v>
      </c>
      <c r="L7" t="s">
        <v>40</v>
      </c>
    </row>
    <row r="8" spans="1:12" x14ac:dyDescent="0.35">
      <c r="A8">
        <v>22</v>
      </c>
      <c r="B8" t="s">
        <v>13</v>
      </c>
      <c r="C8" t="s">
        <v>15</v>
      </c>
      <c r="D8" t="s">
        <v>19</v>
      </c>
      <c r="E8" t="s">
        <v>26</v>
      </c>
      <c r="F8" t="s">
        <v>33</v>
      </c>
      <c r="G8" t="s">
        <v>38</v>
      </c>
      <c r="H8">
        <v>4</v>
      </c>
      <c r="I8">
        <v>4</v>
      </c>
      <c r="J8">
        <v>5</v>
      </c>
      <c r="K8">
        <v>4</v>
      </c>
      <c r="L8" t="s">
        <v>39</v>
      </c>
    </row>
    <row r="9" spans="1:12" x14ac:dyDescent="0.35">
      <c r="A9">
        <v>18</v>
      </c>
      <c r="B9" t="s">
        <v>13</v>
      </c>
      <c r="C9" t="s">
        <v>14</v>
      </c>
      <c r="D9" t="s">
        <v>20</v>
      </c>
      <c r="E9" t="s">
        <v>27</v>
      </c>
      <c r="F9" t="s">
        <v>33</v>
      </c>
      <c r="G9" t="s">
        <v>37</v>
      </c>
      <c r="H9">
        <v>3</v>
      </c>
      <c r="I9">
        <v>1</v>
      </c>
      <c r="J9">
        <v>4</v>
      </c>
      <c r="K9">
        <v>3</v>
      </c>
      <c r="L9" t="s">
        <v>40</v>
      </c>
    </row>
    <row r="10" spans="1:12" x14ac:dyDescent="0.35">
      <c r="A10">
        <v>18</v>
      </c>
      <c r="B10" t="s">
        <v>12</v>
      </c>
      <c r="C10" t="s">
        <v>15</v>
      </c>
      <c r="D10" t="s">
        <v>19</v>
      </c>
      <c r="E10" t="s">
        <v>28</v>
      </c>
      <c r="F10" t="s">
        <v>33</v>
      </c>
      <c r="G10" t="s">
        <v>37</v>
      </c>
      <c r="H10">
        <v>2</v>
      </c>
      <c r="I10">
        <v>4</v>
      </c>
      <c r="J10">
        <v>4</v>
      </c>
      <c r="K10">
        <v>4</v>
      </c>
      <c r="L10" t="s">
        <v>39</v>
      </c>
    </row>
    <row r="11" spans="1:12" x14ac:dyDescent="0.35">
      <c r="A11">
        <v>40</v>
      </c>
      <c r="B11" t="s">
        <v>13</v>
      </c>
      <c r="C11" t="s">
        <v>17</v>
      </c>
      <c r="D11" t="s">
        <v>18</v>
      </c>
      <c r="E11" t="s">
        <v>24</v>
      </c>
      <c r="F11" t="s">
        <v>33</v>
      </c>
      <c r="G11" t="s">
        <v>38</v>
      </c>
      <c r="H11">
        <v>4</v>
      </c>
      <c r="I11">
        <v>4</v>
      </c>
      <c r="J11">
        <v>3</v>
      </c>
      <c r="K11">
        <v>4</v>
      </c>
      <c r="L11" t="s">
        <v>39</v>
      </c>
    </row>
    <row r="12" spans="1:12" x14ac:dyDescent="0.35">
      <c r="A12">
        <v>30</v>
      </c>
      <c r="B12" t="s">
        <v>12</v>
      </c>
      <c r="C12" t="s">
        <v>14</v>
      </c>
      <c r="D12" t="s">
        <v>18</v>
      </c>
      <c r="E12" t="s">
        <v>29</v>
      </c>
      <c r="F12" t="s">
        <v>33</v>
      </c>
      <c r="G12" t="s">
        <v>37</v>
      </c>
      <c r="H12">
        <v>5</v>
      </c>
      <c r="I12">
        <v>4</v>
      </c>
      <c r="J12">
        <v>3</v>
      </c>
      <c r="K12">
        <v>1</v>
      </c>
      <c r="L12" t="s">
        <v>39</v>
      </c>
    </row>
    <row r="13" spans="1:12" x14ac:dyDescent="0.35">
      <c r="A13">
        <v>50</v>
      </c>
      <c r="B13" t="s">
        <v>13</v>
      </c>
      <c r="C13" t="s">
        <v>16</v>
      </c>
      <c r="D13" t="s">
        <v>19</v>
      </c>
      <c r="E13" t="s">
        <v>27</v>
      </c>
      <c r="F13" t="s">
        <v>33</v>
      </c>
      <c r="G13" t="s">
        <v>38</v>
      </c>
      <c r="H13">
        <v>5</v>
      </c>
      <c r="I13">
        <v>4</v>
      </c>
      <c r="J13">
        <v>4</v>
      </c>
      <c r="K13">
        <v>2</v>
      </c>
      <c r="L13" t="s">
        <v>39</v>
      </c>
    </row>
    <row r="14" spans="1:12" x14ac:dyDescent="0.35">
      <c r="A14">
        <v>25</v>
      </c>
      <c r="B14" t="s">
        <v>12</v>
      </c>
      <c r="C14" t="s">
        <v>16</v>
      </c>
      <c r="D14" t="s">
        <v>20</v>
      </c>
      <c r="E14" t="s">
        <v>30</v>
      </c>
      <c r="F14" t="s">
        <v>33</v>
      </c>
      <c r="G14" t="s">
        <v>37</v>
      </c>
      <c r="H14">
        <v>4</v>
      </c>
      <c r="I14">
        <v>1</v>
      </c>
      <c r="J14">
        <v>1</v>
      </c>
      <c r="K14">
        <v>4</v>
      </c>
      <c r="L14" t="s">
        <v>39</v>
      </c>
    </row>
    <row r="15" spans="1:12" x14ac:dyDescent="0.35">
      <c r="A15">
        <v>18</v>
      </c>
      <c r="B15" t="s">
        <v>12</v>
      </c>
      <c r="C15" t="s">
        <v>17</v>
      </c>
      <c r="D15" t="s">
        <v>20</v>
      </c>
      <c r="E15" t="s">
        <v>23</v>
      </c>
      <c r="F15" t="s">
        <v>33</v>
      </c>
      <c r="G15" t="s">
        <v>38</v>
      </c>
      <c r="H15">
        <v>4</v>
      </c>
      <c r="I15">
        <v>4</v>
      </c>
      <c r="J15">
        <v>1</v>
      </c>
      <c r="K15">
        <v>2</v>
      </c>
      <c r="L15" t="s">
        <v>39</v>
      </c>
    </row>
    <row r="16" spans="1:12" x14ac:dyDescent="0.35">
      <c r="A16">
        <v>45</v>
      </c>
      <c r="B16" t="s">
        <v>13</v>
      </c>
      <c r="C16" t="s">
        <v>15</v>
      </c>
      <c r="D16" t="s">
        <v>18</v>
      </c>
      <c r="E16" t="s">
        <v>31</v>
      </c>
      <c r="F16" t="s">
        <v>33</v>
      </c>
      <c r="G16" t="s">
        <v>36</v>
      </c>
      <c r="H16">
        <v>4</v>
      </c>
      <c r="I16">
        <v>3</v>
      </c>
      <c r="J16">
        <v>2</v>
      </c>
      <c r="K16">
        <v>2</v>
      </c>
      <c r="L16" t="s">
        <v>39</v>
      </c>
    </row>
    <row r="17" spans="1:12" x14ac:dyDescent="0.35">
      <c r="A17">
        <v>60</v>
      </c>
      <c r="B17" t="s">
        <v>12</v>
      </c>
      <c r="C17" t="s">
        <v>16</v>
      </c>
      <c r="D17" t="s">
        <v>19</v>
      </c>
      <c r="E17" t="s">
        <v>32</v>
      </c>
      <c r="F17" t="s">
        <v>33</v>
      </c>
      <c r="G17" t="s">
        <v>38</v>
      </c>
      <c r="H17">
        <v>2</v>
      </c>
      <c r="I17">
        <v>5</v>
      </c>
      <c r="J17">
        <v>4</v>
      </c>
      <c r="K17">
        <v>5</v>
      </c>
      <c r="L17" t="s">
        <v>39</v>
      </c>
    </row>
    <row r="18" spans="1:12" x14ac:dyDescent="0.35">
      <c r="A18">
        <v>25</v>
      </c>
      <c r="B18" t="s">
        <v>12</v>
      </c>
      <c r="C18" t="s">
        <v>14</v>
      </c>
      <c r="D18" t="s">
        <v>20</v>
      </c>
      <c r="E18" t="s">
        <v>30</v>
      </c>
      <c r="F18" t="s">
        <v>33</v>
      </c>
      <c r="G18" t="s">
        <v>38</v>
      </c>
      <c r="H18">
        <v>5</v>
      </c>
      <c r="I18">
        <v>4</v>
      </c>
      <c r="J18">
        <v>4</v>
      </c>
      <c r="K18">
        <v>2</v>
      </c>
      <c r="L18" t="s">
        <v>39</v>
      </c>
    </row>
    <row r="19" spans="1:12" x14ac:dyDescent="0.35">
      <c r="A19">
        <v>45</v>
      </c>
      <c r="B19" t="s">
        <v>13</v>
      </c>
      <c r="C19" t="s">
        <v>16</v>
      </c>
      <c r="D19" t="s">
        <v>19</v>
      </c>
      <c r="E19" t="s">
        <v>22</v>
      </c>
      <c r="F19" t="s">
        <v>33</v>
      </c>
      <c r="G19" t="s">
        <v>37</v>
      </c>
      <c r="H19">
        <v>1</v>
      </c>
      <c r="I19">
        <v>3</v>
      </c>
      <c r="J19">
        <v>2</v>
      </c>
      <c r="K19">
        <v>1</v>
      </c>
      <c r="L19" t="s">
        <v>39</v>
      </c>
    </row>
    <row r="20" spans="1:12" x14ac:dyDescent="0.35">
      <c r="A20">
        <v>40</v>
      </c>
      <c r="B20" t="s">
        <v>12</v>
      </c>
      <c r="C20" t="s">
        <v>16</v>
      </c>
      <c r="D20" t="s">
        <v>18</v>
      </c>
      <c r="E20" t="s">
        <v>22</v>
      </c>
      <c r="F20" t="s">
        <v>33</v>
      </c>
      <c r="G20" t="s">
        <v>38</v>
      </c>
      <c r="H20">
        <v>3</v>
      </c>
      <c r="I20">
        <v>2</v>
      </c>
      <c r="J20">
        <v>3</v>
      </c>
      <c r="K20">
        <v>4</v>
      </c>
      <c r="L20" t="s">
        <v>40</v>
      </c>
    </row>
    <row r="21" spans="1:12" x14ac:dyDescent="0.35">
      <c r="A21">
        <v>40</v>
      </c>
      <c r="B21" t="s">
        <v>13</v>
      </c>
      <c r="C21" t="s">
        <v>14</v>
      </c>
      <c r="D21" t="s">
        <v>19</v>
      </c>
      <c r="E21" t="s">
        <v>26</v>
      </c>
      <c r="F21" t="s">
        <v>33</v>
      </c>
      <c r="G21" t="s">
        <v>36</v>
      </c>
      <c r="H21">
        <v>4</v>
      </c>
      <c r="I21">
        <v>2</v>
      </c>
      <c r="J21">
        <v>1</v>
      </c>
      <c r="K21">
        <v>2</v>
      </c>
      <c r="L21" t="s">
        <v>39</v>
      </c>
    </row>
    <row r="22" spans="1:12" x14ac:dyDescent="0.35">
      <c r="A22">
        <v>25</v>
      </c>
      <c r="B22" t="s">
        <v>13</v>
      </c>
      <c r="C22" t="s">
        <v>16</v>
      </c>
      <c r="D22" t="s">
        <v>20</v>
      </c>
      <c r="E22" t="s">
        <v>30</v>
      </c>
      <c r="F22" t="s">
        <v>34</v>
      </c>
      <c r="G22" t="s">
        <v>38</v>
      </c>
      <c r="H22">
        <v>2</v>
      </c>
      <c r="I22">
        <v>3</v>
      </c>
      <c r="J22">
        <v>2</v>
      </c>
      <c r="K22">
        <v>1</v>
      </c>
      <c r="L22" t="s">
        <v>39</v>
      </c>
    </row>
    <row r="23" spans="1:12" x14ac:dyDescent="0.35">
      <c r="A23">
        <v>45</v>
      </c>
      <c r="B23" t="s">
        <v>12</v>
      </c>
      <c r="C23" t="s">
        <v>17</v>
      </c>
      <c r="D23" t="s">
        <v>19</v>
      </c>
      <c r="E23" t="s">
        <v>29</v>
      </c>
      <c r="F23" t="s">
        <v>33</v>
      </c>
      <c r="G23" t="s">
        <v>37</v>
      </c>
      <c r="H23">
        <v>4</v>
      </c>
      <c r="I23">
        <v>3</v>
      </c>
      <c r="J23">
        <v>5</v>
      </c>
      <c r="K23">
        <v>1</v>
      </c>
      <c r="L23" t="s">
        <v>40</v>
      </c>
    </row>
    <row r="24" spans="1:12" x14ac:dyDescent="0.35">
      <c r="A24">
        <v>18</v>
      </c>
      <c r="B24" t="s">
        <v>13</v>
      </c>
      <c r="C24" t="s">
        <v>15</v>
      </c>
      <c r="D24" t="s">
        <v>19</v>
      </c>
      <c r="E24" t="s">
        <v>24</v>
      </c>
      <c r="F24" t="s">
        <v>33</v>
      </c>
      <c r="G24" t="s">
        <v>37</v>
      </c>
      <c r="H24">
        <v>5</v>
      </c>
      <c r="I24">
        <v>2</v>
      </c>
      <c r="J24">
        <v>1</v>
      </c>
      <c r="K24">
        <v>3</v>
      </c>
      <c r="L24" t="s">
        <v>39</v>
      </c>
    </row>
    <row r="25" spans="1:12" x14ac:dyDescent="0.35">
      <c r="A25">
        <v>45</v>
      </c>
      <c r="B25" t="s">
        <v>12</v>
      </c>
      <c r="C25" t="s">
        <v>14</v>
      </c>
      <c r="D25" t="s">
        <v>19</v>
      </c>
      <c r="E25" t="s">
        <v>22</v>
      </c>
      <c r="F25" t="s">
        <v>33</v>
      </c>
      <c r="G25" t="s">
        <v>37</v>
      </c>
      <c r="H25">
        <v>4</v>
      </c>
      <c r="I25">
        <v>1</v>
      </c>
      <c r="J25">
        <v>5</v>
      </c>
      <c r="K25">
        <v>3</v>
      </c>
      <c r="L25" t="s">
        <v>40</v>
      </c>
    </row>
    <row r="26" spans="1:12" x14ac:dyDescent="0.35">
      <c r="A26">
        <v>40</v>
      </c>
      <c r="B26" t="s">
        <v>13</v>
      </c>
      <c r="C26" t="s">
        <v>17</v>
      </c>
      <c r="D26" t="s">
        <v>20</v>
      </c>
      <c r="E26" t="s">
        <v>32</v>
      </c>
      <c r="F26" t="s">
        <v>33</v>
      </c>
      <c r="G26" t="s">
        <v>38</v>
      </c>
      <c r="H26">
        <v>2</v>
      </c>
      <c r="I26">
        <v>4</v>
      </c>
      <c r="J26">
        <v>5</v>
      </c>
      <c r="K26">
        <v>3</v>
      </c>
      <c r="L26" t="s">
        <v>39</v>
      </c>
    </row>
    <row r="27" spans="1:12" x14ac:dyDescent="0.35">
      <c r="A27">
        <v>35</v>
      </c>
      <c r="B27" t="s">
        <v>12</v>
      </c>
      <c r="C27" t="s">
        <v>14</v>
      </c>
      <c r="D27" t="s">
        <v>18</v>
      </c>
      <c r="E27" t="s">
        <v>24</v>
      </c>
      <c r="F27" t="s">
        <v>33</v>
      </c>
      <c r="G27" t="s">
        <v>38</v>
      </c>
      <c r="H27">
        <v>5</v>
      </c>
      <c r="I27">
        <v>4</v>
      </c>
      <c r="J27">
        <v>4</v>
      </c>
      <c r="K27">
        <v>4</v>
      </c>
      <c r="L27" t="s">
        <v>39</v>
      </c>
    </row>
    <row r="28" spans="1:12" x14ac:dyDescent="0.35">
      <c r="A28">
        <v>45</v>
      </c>
      <c r="B28" t="s">
        <v>12</v>
      </c>
      <c r="C28" t="s">
        <v>14</v>
      </c>
      <c r="D28" t="s">
        <v>19</v>
      </c>
      <c r="E28" t="s">
        <v>25</v>
      </c>
      <c r="F28" t="s">
        <v>34</v>
      </c>
      <c r="G28" t="s">
        <v>37</v>
      </c>
      <c r="H28">
        <v>3</v>
      </c>
      <c r="I28">
        <v>2</v>
      </c>
      <c r="J28">
        <v>2</v>
      </c>
      <c r="K28">
        <v>3</v>
      </c>
      <c r="L28" t="s">
        <v>39</v>
      </c>
    </row>
    <row r="29" spans="1:12" x14ac:dyDescent="0.35">
      <c r="A29">
        <v>30</v>
      </c>
      <c r="B29" t="s">
        <v>13</v>
      </c>
      <c r="C29" t="s">
        <v>17</v>
      </c>
      <c r="D29" t="s">
        <v>20</v>
      </c>
      <c r="E29" t="s">
        <v>21</v>
      </c>
      <c r="F29" t="s">
        <v>33</v>
      </c>
      <c r="G29" t="s">
        <v>38</v>
      </c>
      <c r="H29">
        <v>3</v>
      </c>
      <c r="I29">
        <v>1</v>
      </c>
      <c r="J29">
        <v>5</v>
      </c>
      <c r="K29">
        <v>4</v>
      </c>
      <c r="L29" t="s">
        <v>40</v>
      </c>
    </row>
    <row r="30" spans="1:12" x14ac:dyDescent="0.35">
      <c r="A30">
        <v>25</v>
      </c>
      <c r="B30" t="s">
        <v>12</v>
      </c>
      <c r="C30" t="s">
        <v>14</v>
      </c>
      <c r="D30" t="s">
        <v>18</v>
      </c>
      <c r="E30" t="s">
        <v>21</v>
      </c>
      <c r="F30" t="s">
        <v>33</v>
      </c>
      <c r="G30" t="s">
        <v>37</v>
      </c>
      <c r="H30">
        <v>2</v>
      </c>
      <c r="I30">
        <v>3</v>
      </c>
      <c r="J30">
        <v>4</v>
      </c>
      <c r="K30">
        <v>4</v>
      </c>
      <c r="L30" t="s">
        <v>39</v>
      </c>
    </row>
    <row r="31" spans="1:12" x14ac:dyDescent="0.35">
      <c r="A31">
        <v>55</v>
      </c>
      <c r="B31" t="s">
        <v>13</v>
      </c>
      <c r="C31" t="s">
        <v>14</v>
      </c>
      <c r="D31" t="s">
        <v>20</v>
      </c>
      <c r="E31" t="s">
        <v>32</v>
      </c>
      <c r="F31" t="s">
        <v>33</v>
      </c>
      <c r="G31" t="s">
        <v>37</v>
      </c>
      <c r="H31">
        <v>2</v>
      </c>
      <c r="I31">
        <v>5</v>
      </c>
      <c r="J31">
        <v>5</v>
      </c>
      <c r="K31">
        <v>1</v>
      </c>
      <c r="L31" t="s">
        <v>39</v>
      </c>
    </row>
    <row r="32" spans="1:12" x14ac:dyDescent="0.35">
      <c r="A32">
        <v>18</v>
      </c>
      <c r="B32" t="s">
        <v>12</v>
      </c>
      <c r="C32" t="s">
        <v>14</v>
      </c>
      <c r="D32" t="s">
        <v>18</v>
      </c>
      <c r="E32" t="s">
        <v>23</v>
      </c>
      <c r="F32" t="s">
        <v>33</v>
      </c>
      <c r="G32" t="s">
        <v>37</v>
      </c>
      <c r="H32">
        <v>3</v>
      </c>
      <c r="I32">
        <v>1</v>
      </c>
      <c r="J32">
        <v>5</v>
      </c>
      <c r="K32">
        <v>1</v>
      </c>
      <c r="L32" t="s">
        <v>40</v>
      </c>
    </row>
    <row r="33" spans="1:12" x14ac:dyDescent="0.35">
      <c r="A33">
        <v>30</v>
      </c>
      <c r="B33" t="s">
        <v>12</v>
      </c>
      <c r="C33" t="s">
        <v>14</v>
      </c>
      <c r="D33" t="s">
        <v>18</v>
      </c>
      <c r="E33" t="s">
        <v>25</v>
      </c>
      <c r="F33" t="s">
        <v>33</v>
      </c>
      <c r="G33" t="s">
        <v>38</v>
      </c>
      <c r="H33">
        <v>5</v>
      </c>
      <c r="I33">
        <v>2</v>
      </c>
      <c r="J33">
        <v>4</v>
      </c>
      <c r="K33">
        <v>1</v>
      </c>
      <c r="L33" t="s">
        <v>40</v>
      </c>
    </row>
    <row r="34" spans="1:12" x14ac:dyDescent="0.35">
      <c r="A34">
        <v>40</v>
      </c>
      <c r="B34" t="s">
        <v>13</v>
      </c>
      <c r="C34" t="s">
        <v>14</v>
      </c>
      <c r="D34" t="s">
        <v>20</v>
      </c>
      <c r="E34" t="s">
        <v>22</v>
      </c>
      <c r="F34" t="s">
        <v>34</v>
      </c>
      <c r="G34" t="s">
        <v>37</v>
      </c>
      <c r="H34">
        <v>1</v>
      </c>
      <c r="I34">
        <v>5</v>
      </c>
      <c r="J34">
        <v>3</v>
      </c>
      <c r="K34">
        <v>3</v>
      </c>
      <c r="L34" t="s">
        <v>39</v>
      </c>
    </row>
    <row r="35" spans="1:12" x14ac:dyDescent="0.35">
      <c r="A35">
        <v>25</v>
      </c>
      <c r="B35" t="s">
        <v>13</v>
      </c>
      <c r="C35" t="s">
        <v>17</v>
      </c>
      <c r="D35" t="s">
        <v>20</v>
      </c>
      <c r="E35" t="s">
        <v>30</v>
      </c>
      <c r="F35" t="s">
        <v>33</v>
      </c>
      <c r="G35" t="s">
        <v>37</v>
      </c>
      <c r="H35">
        <v>5</v>
      </c>
      <c r="I35">
        <v>1</v>
      </c>
      <c r="J35">
        <v>2</v>
      </c>
      <c r="K35">
        <v>4</v>
      </c>
      <c r="L35" t="s">
        <v>39</v>
      </c>
    </row>
    <row r="36" spans="1:12" x14ac:dyDescent="0.35">
      <c r="A36">
        <v>22</v>
      </c>
      <c r="B36" t="s">
        <v>12</v>
      </c>
      <c r="C36" t="s">
        <v>14</v>
      </c>
      <c r="D36" t="s">
        <v>18</v>
      </c>
      <c r="E36" t="s">
        <v>30</v>
      </c>
      <c r="F36" t="s">
        <v>34</v>
      </c>
      <c r="G36" t="s">
        <v>38</v>
      </c>
      <c r="H36">
        <v>3</v>
      </c>
      <c r="I36">
        <v>3</v>
      </c>
      <c r="J36">
        <v>3</v>
      </c>
      <c r="K36">
        <v>4</v>
      </c>
      <c r="L36" t="s">
        <v>39</v>
      </c>
    </row>
    <row r="37" spans="1:12" x14ac:dyDescent="0.35">
      <c r="A37">
        <v>45</v>
      </c>
      <c r="B37" t="s">
        <v>12</v>
      </c>
      <c r="C37" t="s">
        <v>16</v>
      </c>
      <c r="D37" t="s">
        <v>19</v>
      </c>
      <c r="E37" t="s">
        <v>28</v>
      </c>
      <c r="F37" t="s">
        <v>33</v>
      </c>
      <c r="G37" t="s">
        <v>38</v>
      </c>
      <c r="H37">
        <v>4</v>
      </c>
      <c r="I37">
        <v>1</v>
      </c>
      <c r="J37">
        <v>5</v>
      </c>
      <c r="K37">
        <v>2</v>
      </c>
      <c r="L37" t="s">
        <v>40</v>
      </c>
    </row>
    <row r="38" spans="1:12" x14ac:dyDescent="0.35">
      <c r="A38">
        <v>50</v>
      </c>
      <c r="B38" t="s">
        <v>13</v>
      </c>
      <c r="C38" t="s">
        <v>15</v>
      </c>
      <c r="D38" t="s">
        <v>19</v>
      </c>
      <c r="E38" t="s">
        <v>25</v>
      </c>
      <c r="F38" t="s">
        <v>33</v>
      </c>
      <c r="G38" t="s">
        <v>38</v>
      </c>
      <c r="H38">
        <v>3</v>
      </c>
      <c r="I38">
        <v>1</v>
      </c>
      <c r="J38">
        <v>3</v>
      </c>
      <c r="K38">
        <v>2</v>
      </c>
      <c r="L38" t="s">
        <v>40</v>
      </c>
    </row>
    <row r="39" spans="1:12" x14ac:dyDescent="0.35">
      <c r="A39">
        <v>45</v>
      </c>
      <c r="B39" t="s">
        <v>13</v>
      </c>
      <c r="C39" t="s">
        <v>16</v>
      </c>
      <c r="D39" t="s">
        <v>20</v>
      </c>
      <c r="E39" t="s">
        <v>29</v>
      </c>
      <c r="F39" t="s">
        <v>33</v>
      </c>
      <c r="G39" t="s">
        <v>38</v>
      </c>
      <c r="H39">
        <v>5</v>
      </c>
      <c r="I39">
        <v>2</v>
      </c>
      <c r="J39">
        <v>1</v>
      </c>
      <c r="K39">
        <v>3</v>
      </c>
      <c r="L39" t="s">
        <v>39</v>
      </c>
    </row>
    <row r="40" spans="1:12" x14ac:dyDescent="0.35">
      <c r="A40">
        <v>18</v>
      </c>
      <c r="B40" t="s">
        <v>13</v>
      </c>
      <c r="C40" t="s">
        <v>16</v>
      </c>
      <c r="D40" t="s">
        <v>20</v>
      </c>
      <c r="E40" t="s">
        <v>30</v>
      </c>
      <c r="F40" t="s">
        <v>33</v>
      </c>
      <c r="G40" t="s">
        <v>37</v>
      </c>
      <c r="H40">
        <v>4</v>
      </c>
      <c r="I40">
        <v>2</v>
      </c>
      <c r="J40">
        <v>5</v>
      </c>
      <c r="K40">
        <v>2</v>
      </c>
      <c r="L40" t="s">
        <v>40</v>
      </c>
    </row>
    <row r="41" spans="1:12" x14ac:dyDescent="0.35">
      <c r="A41">
        <v>25</v>
      </c>
      <c r="B41" t="s">
        <v>13</v>
      </c>
      <c r="C41" t="s">
        <v>14</v>
      </c>
      <c r="D41" t="s">
        <v>18</v>
      </c>
      <c r="E41" t="s">
        <v>27</v>
      </c>
      <c r="F41" t="s">
        <v>33</v>
      </c>
      <c r="G41" t="s">
        <v>38</v>
      </c>
      <c r="H41">
        <v>4</v>
      </c>
      <c r="I41">
        <v>3</v>
      </c>
      <c r="J41">
        <v>5</v>
      </c>
      <c r="K41">
        <v>4</v>
      </c>
      <c r="L41" t="s">
        <v>40</v>
      </c>
    </row>
    <row r="42" spans="1:12" x14ac:dyDescent="0.35">
      <c r="A42">
        <v>22</v>
      </c>
      <c r="B42" t="s">
        <v>13</v>
      </c>
      <c r="C42" t="s">
        <v>16</v>
      </c>
      <c r="D42" t="s">
        <v>20</v>
      </c>
      <c r="E42" t="s">
        <v>22</v>
      </c>
      <c r="F42" t="s">
        <v>33</v>
      </c>
      <c r="G42" t="s">
        <v>37</v>
      </c>
      <c r="H42">
        <v>4</v>
      </c>
      <c r="I42">
        <v>1</v>
      </c>
      <c r="J42">
        <v>5</v>
      </c>
      <c r="K42">
        <v>5</v>
      </c>
      <c r="L42" t="s">
        <v>40</v>
      </c>
    </row>
    <row r="43" spans="1:12" x14ac:dyDescent="0.35">
      <c r="A43">
        <v>35</v>
      </c>
      <c r="B43" t="s">
        <v>13</v>
      </c>
      <c r="C43" t="s">
        <v>16</v>
      </c>
      <c r="D43" t="s">
        <v>19</v>
      </c>
      <c r="E43" t="s">
        <v>22</v>
      </c>
      <c r="F43" t="s">
        <v>33</v>
      </c>
      <c r="G43" t="s">
        <v>36</v>
      </c>
      <c r="H43">
        <v>3</v>
      </c>
      <c r="I43">
        <v>3</v>
      </c>
      <c r="J43">
        <v>4</v>
      </c>
      <c r="K43">
        <v>2</v>
      </c>
      <c r="L43" t="s">
        <v>39</v>
      </c>
    </row>
    <row r="44" spans="1:12" x14ac:dyDescent="0.35">
      <c r="A44">
        <v>35</v>
      </c>
      <c r="B44" t="s">
        <v>12</v>
      </c>
      <c r="C44" t="s">
        <v>15</v>
      </c>
      <c r="D44" t="s">
        <v>19</v>
      </c>
      <c r="E44" t="s">
        <v>22</v>
      </c>
      <c r="F44" t="s">
        <v>35</v>
      </c>
      <c r="G44" t="s">
        <v>37</v>
      </c>
      <c r="H44">
        <v>2</v>
      </c>
      <c r="I44">
        <v>5</v>
      </c>
      <c r="J44">
        <v>2</v>
      </c>
      <c r="K44">
        <v>4</v>
      </c>
      <c r="L44" t="s">
        <v>39</v>
      </c>
    </row>
    <row r="45" spans="1:12" x14ac:dyDescent="0.35">
      <c r="A45">
        <v>25</v>
      </c>
      <c r="B45" t="s">
        <v>13</v>
      </c>
      <c r="C45" t="s">
        <v>15</v>
      </c>
      <c r="D45" t="s">
        <v>19</v>
      </c>
      <c r="E45" t="s">
        <v>32</v>
      </c>
      <c r="F45" t="s">
        <v>33</v>
      </c>
      <c r="G45" t="s">
        <v>38</v>
      </c>
      <c r="H45">
        <v>2</v>
      </c>
      <c r="I45">
        <v>3</v>
      </c>
      <c r="J45">
        <v>4</v>
      </c>
      <c r="K45">
        <v>4</v>
      </c>
      <c r="L45" t="s">
        <v>39</v>
      </c>
    </row>
    <row r="46" spans="1:12" x14ac:dyDescent="0.35">
      <c r="A46">
        <v>18</v>
      </c>
      <c r="B46" t="s">
        <v>13</v>
      </c>
      <c r="C46" t="s">
        <v>14</v>
      </c>
      <c r="D46" t="s">
        <v>19</v>
      </c>
      <c r="E46" t="s">
        <v>30</v>
      </c>
      <c r="F46" t="s">
        <v>33</v>
      </c>
      <c r="G46" t="s">
        <v>36</v>
      </c>
      <c r="H46">
        <v>5</v>
      </c>
      <c r="I46">
        <v>1</v>
      </c>
      <c r="J46">
        <v>4</v>
      </c>
      <c r="K46">
        <v>2</v>
      </c>
      <c r="L46" t="s">
        <v>39</v>
      </c>
    </row>
    <row r="47" spans="1:12" x14ac:dyDescent="0.35">
      <c r="A47">
        <v>40</v>
      </c>
      <c r="B47" t="s">
        <v>12</v>
      </c>
      <c r="C47" t="s">
        <v>14</v>
      </c>
      <c r="D47" t="s">
        <v>18</v>
      </c>
      <c r="E47" t="s">
        <v>24</v>
      </c>
      <c r="F47" t="s">
        <v>33</v>
      </c>
      <c r="G47" t="s">
        <v>37</v>
      </c>
      <c r="H47">
        <v>4</v>
      </c>
      <c r="I47">
        <v>1</v>
      </c>
      <c r="J47">
        <v>4</v>
      </c>
      <c r="K47">
        <v>3</v>
      </c>
      <c r="L47" t="s">
        <v>40</v>
      </c>
    </row>
    <row r="48" spans="1:12" x14ac:dyDescent="0.35">
      <c r="A48">
        <v>40</v>
      </c>
      <c r="B48" t="s">
        <v>13</v>
      </c>
      <c r="C48" t="s">
        <v>16</v>
      </c>
      <c r="D48" t="s">
        <v>18</v>
      </c>
      <c r="E48" t="s">
        <v>32</v>
      </c>
      <c r="F48" t="s">
        <v>33</v>
      </c>
      <c r="G48" t="s">
        <v>38</v>
      </c>
      <c r="H48">
        <v>5</v>
      </c>
      <c r="I48">
        <v>4</v>
      </c>
      <c r="J48">
        <v>3</v>
      </c>
      <c r="K48">
        <v>5</v>
      </c>
      <c r="L48" t="s">
        <v>39</v>
      </c>
    </row>
    <row r="49" spans="1:12" x14ac:dyDescent="0.35">
      <c r="A49">
        <v>45</v>
      </c>
      <c r="B49" t="s">
        <v>12</v>
      </c>
      <c r="C49" t="s">
        <v>16</v>
      </c>
      <c r="D49" t="s">
        <v>19</v>
      </c>
      <c r="E49" t="s">
        <v>30</v>
      </c>
      <c r="F49" t="s">
        <v>33</v>
      </c>
      <c r="G49" t="s">
        <v>38</v>
      </c>
      <c r="H49">
        <v>2</v>
      </c>
      <c r="I49">
        <v>5</v>
      </c>
      <c r="J49">
        <v>1</v>
      </c>
      <c r="K49">
        <v>3</v>
      </c>
      <c r="L49" t="s">
        <v>39</v>
      </c>
    </row>
    <row r="50" spans="1:12" x14ac:dyDescent="0.35">
      <c r="A50">
        <v>45</v>
      </c>
      <c r="B50" t="s">
        <v>13</v>
      </c>
      <c r="C50" t="s">
        <v>16</v>
      </c>
      <c r="D50" t="s">
        <v>19</v>
      </c>
      <c r="E50" t="s">
        <v>22</v>
      </c>
      <c r="F50" t="s">
        <v>33</v>
      </c>
      <c r="G50" t="s">
        <v>37</v>
      </c>
      <c r="H50">
        <v>1</v>
      </c>
      <c r="I50">
        <v>4</v>
      </c>
      <c r="J50">
        <v>3</v>
      </c>
      <c r="K50">
        <v>4</v>
      </c>
      <c r="L50" t="s">
        <v>39</v>
      </c>
    </row>
    <row r="51" spans="1:12" x14ac:dyDescent="0.35">
      <c r="A51">
        <v>22</v>
      </c>
      <c r="B51" t="s">
        <v>13</v>
      </c>
      <c r="C51" t="s">
        <v>15</v>
      </c>
      <c r="D51" t="s">
        <v>18</v>
      </c>
      <c r="E51" t="s">
        <v>32</v>
      </c>
      <c r="F51" t="s">
        <v>34</v>
      </c>
      <c r="G51" t="s">
        <v>38</v>
      </c>
      <c r="H51">
        <v>3</v>
      </c>
      <c r="I51">
        <v>5</v>
      </c>
      <c r="J51">
        <v>3</v>
      </c>
      <c r="K51">
        <v>5</v>
      </c>
      <c r="L51" t="s">
        <v>39</v>
      </c>
    </row>
    <row r="52" spans="1:12" x14ac:dyDescent="0.35">
      <c r="A52">
        <v>22</v>
      </c>
      <c r="B52" t="s">
        <v>13</v>
      </c>
      <c r="C52" t="s">
        <v>14</v>
      </c>
      <c r="D52" t="s">
        <v>19</v>
      </c>
      <c r="E52" t="s">
        <v>21</v>
      </c>
      <c r="F52" t="s">
        <v>33</v>
      </c>
      <c r="G52" t="s">
        <v>37</v>
      </c>
      <c r="H52">
        <v>5</v>
      </c>
      <c r="I52">
        <v>2</v>
      </c>
      <c r="J52">
        <v>3</v>
      </c>
      <c r="K52">
        <v>3</v>
      </c>
      <c r="L52" t="s">
        <v>40</v>
      </c>
    </row>
    <row r="53" spans="1:12" x14ac:dyDescent="0.35">
      <c r="A53">
        <v>55</v>
      </c>
      <c r="B53" t="s">
        <v>12</v>
      </c>
      <c r="C53" t="s">
        <v>15</v>
      </c>
      <c r="D53" t="s">
        <v>18</v>
      </c>
      <c r="E53" t="s">
        <v>24</v>
      </c>
      <c r="F53" t="s">
        <v>35</v>
      </c>
      <c r="G53" t="s">
        <v>37</v>
      </c>
      <c r="H53">
        <v>1</v>
      </c>
      <c r="I53">
        <v>3</v>
      </c>
      <c r="J53">
        <v>3</v>
      </c>
      <c r="K53">
        <v>4</v>
      </c>
      <c r="L53" t="s">
        <v>39</v>
      </c>
    </row>
    <row r="54" spans="1:12" x14ac:dyDescent="0.35">
      <c r="A54">
        <v>18</v>
      </c>
      <c r="B54" t="s">
        <v>13</v>
      </c>
      <c r="C54" t="s">
        <v>16</v>
      </c>
      <c r="D54" t="s">
        <v>20</v>
      </c>
      <c r="E54" t="s">
        <v>22</v>
      </c>
      <c r="F54" t="s">
        <v>33</v>
      </c>
      <c r="G54" t="s">
        <v>38</v>
      </c>
      <c r="H54">
        <v>3</v>
      </c>
      <c r="I54">
        <v>2</v>
      </c>
      <c r="J54">
        <v>4</v>
      </c>
      <c r="K54">
        <v>2</v>
      </c>
      <c r="L54" t="s">
        <v>40</v>
      </c>
    </row>
    <row r="55" spans="1:12" x14ac:dyDescent="0.35">
      <c r="A55">
        <v>22</v>
      </c>
      <c r="B55" t="s">
        <v>12</v>
      </c>
      <c r="C55" t="s">
        <v>14</v>
      </c>
      <c r="D55" t="s">
        <v>19</v>
      </c>
      <c r="E55" t="s">
        <v>24</v>
      </c>
      <c r="F55" t="s">
        <v>34</v>
      </c>
      <c r="G55" t="s">
        <v>37</v>
      </c>
      <c r="H55">
        <v>1</v>
      </c>
      <c r="I55">
        <v>3</v>
      </c>
      <c r="J55">
        <v>3</v>
      </c>
      <c r="K55">
        <v>5</v>
      </c>
      <c r="L55" t="s">
        <v>39</v>
      </c>
    </row>
    <row r="56" spans="1:12" x14ac:dyDescent="0.35">
      <c r="A56">
        <v>30</v>
      </c>
      <c r="B56" t="s">
        <v>12</v>
      </c>
      <c r="C56" t="s">
        <v>14</v>
      </c>
      <c r="D56" t="s">
        <v>20</v>
      </c>
      <c r="E56" t="s">
        <v>28</v>
      </c>
      <c r="F56" t="s">
        <v>33</v>
      </c>
      <c r="G56" t="s">
        <v>38</v>
      </c>
      <c r="H56">
        <v>5</v>
      </c>
      <c r="I56">
        <v>2</v>
      </c>
      <c r="J56">
        <v>5</v>
      </c>
      <c r="K56">
        <v>3</v>
      </c>
      <c r="L56" t="s">
        <v>40</v>
      </c>
    </row>
    <row r="57" spans="1:12" x14ac:dyDescent="0.35">
      <c r="A57">
        <v>18</v>
      </c>
      <c r="B57" t="s">
        <v>13</v>
      </c>
      <c r="C57" t="s">
        <v>14</v>
      </c>
      <c r="D57" t="s">
        <v>19</v>
      </c>
      <c r="E57" t="s">
        <v>29</v>
      </c>
      <c r="F57" t="s">
        <v>33</v>
      </c>
      <c r="G57" t="s">
        <v>38</v>
      </c>
      <c r="H57">
        <v>5</v>
      </c>
      <c r="I57">
        <v>4</v>
      </c>
      <c r="J57">
        <v>4</v>
      </c>
      <c r="K57">
        <v>3</v>
      </c>
      <c r="L57" t="s">
        <v>39</v>
      </c>
    </row>
    <row r="58" spans="1:12" x14ac:dyDescent="0.35">
      <c r="A58">
        <v>22</v>
      </c>
      <c r="B58" t="s">
        <v>13</v>
      </c>
      <c r="C58" t="s">
        <v>14</v>
      </c>
      <c r="D58" t="s">
        <v>19</v>
      </c>
      <c r="E58" t="s">
        <v>30</v>
      </c>
      <c r="F58" t="s">
        <v>34</v>
      </c>
      <c r="G58" t="s">
        <v>37</v>
      </c>
      <c r="H58">
        <v>3</v>
      </c>
      <c r="I58">
        <v>1</v>
      </c>
      <c r="J58">
        <v>1</v>
      </c>
      <c r="K58">
        <v>4</v>
      </c>
      <c r="L58" t="s">
        <v>39</v>
      </c>
    </row>
    <row r="59" spans="1:12" x14ac:dyDescent="0.35">
      <c r="A59">
        <v>22</v>
      </c>
      <c r="B59" t="s">
        <v>12</v>
      </c>
      <c r="C59" t="s">
        <v>14</v>
      </c>
      <c r="D59" t="s">
        <v>19</v>
      </c>
      <c r="E59" t="s">
        <v>28</v>
      </c>
      <c r="F59" t="s">
        <v>33</v>
      </c>
      <c r="G59" t="s">
        <v>37</v>
      </c>
      <c r="H59">
        <v>3</v>
      </c>
      <c r="I59">
        <v>5</v>
      </c>
      <c r="J59">
        <v>4</v>
      </c>
      <c r="K59">
        <v>3</v>
      </c>
      <c r="L59" t="s">
        <v>39</v>
      </c>
    </row>
    <row r="60" spans="1:12" x14ac:dyDescent="0.35">
      <c r="A60">
        <v>35</v>
      </c>
      <c r="B60" t="s">
        <v>12</v>
      </c>
      <c r="C60" t="s">
        <v>15</v>
      </c>
      <c r="D60" t="s">
        <v>20</v>
      </c>
      <c r="E60" t="s">
        <v>29</v>
      </c>
      <c r="F60" t="s">
        <v>33</v>
      </c>
      <c r="G60" t="s">
        <v>38</v>
      </c>
      <c r="H60">
        <v>4</v>
      </c>
      <c r="I60">
        <v>2</v>
      </c>
      <c r="J60">
        <v>1</v>
      </c>
      <c r="K60">
        <v>3</v>
      </c>
      <c r="L60" t="s">
        <v>39</v>
      </c>
    </row>
    <row r="61" spans="1:12" x14ac:dyDescent="0.35">
      <c r="A61">
        <v>35</v>
      </c>
      <c r="B61" t="s">
        <v>13</v>
      </c>
      <c r="C61" t="s">
        <v>14</v>
      </c>
      <c r="D61" t="s">
        <v>18</v>
      </c>
      <c r="E61" t="s">
        <v>30</v>
      </c>
      <c r="F61" t="s">
        <v>33</v>
      </c>
      <c r="G61" t="s">
        <v>38</v>
      </c>
      <c r="H61">
        <v>4</v>
      </c>
      <c r="I61">
        <v>2</v>
      </c>
      <c r="J61">
        <v>2</v>
      </c>
      <c r="K61">
        <v>3</v>
      </c>
      <c r="L61" t="s">
        <v>39</v>
      </c>
    </row>
    <row r="62" spans="1:12" x14ac:dyDescent="0.35">
      <c r="A62">
        <v>35</v>
      </c>
      <c r="B62" t="s">
        <v>13</v>
      </c>
      <c r="C62" t="s">
        <v>15</v>
      </c>
      <c r="D62" t="s">
        <v>20</v>
      </c>
      <c r="E62" t="s">
        <v>28</v>
      </c>
      <c r="F62" t="s">
        <v>34</v>
      </c>
      <c r="G62" t="s">
        <v>37</v>
      </c>
      <c r="H62">
        <v>2</v>
      </c>
      <c r="I62">
        <v>4</v>
      </c>
      <c r="J62">
        <v>2</v>
      </c>
      <c r="K62">
        <v>4</v>
      </c>
      <c r="L62" t="s">
        <v>39</v>
      </c>
    </row>
    <row r="63" spans="1:12" x14ac:dyDescent="0.35">
      <c r="A63">
        <v>22</v>
      </c>
      <c r="B63" t="s">
        <v>13</v>
      </c>
      <c r="C63" t="s">
        <v>14</v>
      </c>
      <c r="D63" t="s">
        <v>20</v>
      </c>
      <c r="E63" t="s">
        <v>24</v>
      </c>
      <c r="F63" t="s">
        <v>34</v>
      </c>
      <c r="G63" t="s">
        <v>37</v>
      </c>
      <c r="H63">
        <v>2</v>
      </c>
      <c r="I63">
        <v>4</v>
      </c>
      <c r="J63">
        <v>3</v>
      </c>
      <c r="K63">
        <v>5</v>
      </c>
      <c r="L63" t="s">
        <v>39</v>
      </c>
    </row>
    <row r="64" spans="1:12" x14ac:dyDescent="0.35">
      <c r="A64">
        <v>22</v>
      </c>
      <c r="B64" t="s">
        <v>13</v>
      </c>
      <c r="C64" t="s">
        <v>16</v>
      </c>
      <c r="D64" t="s">
        <v>19</v>
      </c>
      <c r="E64" t="s">
        <v>29</v>
      </c>
      <c r="F64" t="s">
        <v>33</v>
      </c>
      <c r="G64" t="s">
        <v>38</v>
      </c>
      <c r="H64">
        <v>3</v>
      </c>
      <c r="I64">
        <v>3</v>
      </c>
      <c r="J64">
        <v>3</v>
      </c>
      <c r="K64">
        <v>4</v>
      </c>
      <c r="L64" t="s">
        <v>40</v>
      </c>
    </row>
    <row r="65" spans="1:12" x14ac:dyDescent="0.35">
      <c r="A65">
        <v>22</v>
      </c>
      <c r="B65" t="s">
        <v>12</v>
      </c>
      <c r="C65" t="s">
        <v>15</v>
      </c>
      <c r="D65" t="s">
        <v>18</v>
      </c>
      <c r="E65" t="s">
        <v>22</v>
      </c>
      <c r="F65" t="s">
        <v>33</v>
      </c>
      <c r="G65" t="s">
        <v>38</v>
      </c>
      <c r="H65">
        <v>4</v>
      </c>
      <c r="I65">
        <v>4</v>
      </c>
      <c r="J65">
        <v>4</v>
      </c>
      <c r="K65">
        <v>1</v>
      </c>
      <c r="L65" t="s">
        <v>39</v>
      </c>
    </row>
    <row r="66" spans="1:12" x14ac:dyDescent="0.35">
      <c r="A66">
        <v>30</v>
      </c>
      <c r="B66" t="s">
        <v>12</v>
      </c>
      <c r="C66" t="s">
        <v>14</v>
      </c>
      <c r="D66" t="s">
        <v>19</v>
      </c>
      <c r="E66" t="s">
        <v>24</v>
      </c>
      <c r="F66" t="s">
        <v>33</v>
      </c>
      <c r="G66" t="s">
        <v>37</v>
      </c>
      <c r="H66">
        <v>1</v>
      </c>
      <c r="I66">
        <v>4</v>
      </c>
      <c r="J66">
        <v>4</v>
      </c>
      <c r="K66">
        <v>5</v>
      </c>
      <c r="L66" t="s">
        <v>39</v>
      </c>
    </row>
    <row r="67" spans="1:12" x14ac:dyDescent="0.35">
      <c r="A67">
        <v>45</v>
      </c>
      <c r="B67" t="s">
        <v>13</v>
      </c>
      <c r="C67" t="s">
        <v>16</v>
      </c>
      <c r="D67" t="s">
        <v>18</v>
      </c>
      <c r="E67" t="s">
        <v>29</v>
      </c>
      <c r="F67" t="s">
        <v>33</v>
      </c>
      <c r="G67" t="s">
        <v>37</v>
      </c>
      <c r="H67">
        <v>2</v>
      </c>
      <c r="I67">
        <v>3</v>
      </c>
      <c r="J67">
        <v>4</v>
      </c>
      <c r="K67">
        <v>2</v>
      </c>
      <c r="L67" t="s">
        <v>39</v>
      </c>
    </row>
    <row r="68" spans="1:12" x14ac:dyDescent="0.35">
      <c r="A68">
        <v>50</v>
      </c>
      <c r="B68" t="s">
        <v>13</v>
      </c>
      <c r="C68" t="s">
        <v>14</v>
      </c>
      <c r="D68" t="s">
        <v>19</v>
      </c>
      <c r="E68" t="s">
        <v>26</v>
      </c>
      <c r="F68" t="s">
        <v>33</v>
      </c>
      <c r="G68" t="s">
        <v>37</v>
      </c>
      <c r="H68">
        <v>4</v>
      </c>
      <c r="I68">
        <v>1</v>
      </c>
      <c r="J68">
        <v>4</v>
      </c>
      <c r="K68">
        <v>1</v>
      </c>
      <c r="L68" t="s">
        <v>40</v>
      </c>
    </row>
    <row r="69" spans="1:12" x14ac:dyDescent="0.35">
      <c r="A69">
        <v>18</v>
      </c>
      <c r="B69" t="s">
        <v>12</v>
      </c>
      <c r="C69" t="s">
        <v>14</v>
      </c>
      <c r="D69" t="s">
        <v>19</v>
      </c>
      <c r="E69" t="s">
        <v>26</v>
      </c>
      <c r="F69" t="s">
        <v>33</v>
      </c>
      <c r="G69" t="s">
        <v>38</v>
      </c>
      <c r="H69">
        <v>3</v>
      </c>
      <c r="I69">
        <v>5</v>
      </c>
      <c r="J69">
        <v>5</v>
      </c>
      <c r="K69">
        <v>2</v>
      </c>
      <c r="L69" t="s">
        <v>39</v>
      </c>
    </row>
    <row r="70" spans="1:12" x14ac:dyDescent="0.35">
      <c r="A70">
        <v>25</v>
      </c>
      <c r="B70" t="s">
        <v>13</v>
      </c>
      <c r="C70" t="s">
        <v>14</v>
      </c>
      <c r="D70" t="s">
        <v>18</v>
      </c>
      <c r="E70" t="s">
        <v>21</v>
      </c>
      <c r="F70" t="s">
        <v>33</v>
      </c>
      <c r="G70" t="s">
        <v>38</v>
      </c>
      <c r="H70">
        <v>2</v>
      </c>
      <c r="I70">
        <v>3</v>
      </c>
      <c r="J70">
        <v>2</v>
      </c>
      <c r="K70">
        <v>4</v>
      </c>
      <c r="L70" t="s">
        <v>39</v>
      </c>
    </row>
    <row r="71" spans="1:12" x14ac:dyDescent="0.35">
      <c r="A71">
        <v>25</v>
      </c>
      <c r="B71" t="s">
        <v>13</v>
      </c>
      <c r="C71" t="s">
        <v>15</v>
      </c>
      <c r="D71" t="s">
        <v>19</v>
      </c>
      <c r="E71" t="s">
        <v>32</v>
      </c>
      <c r="F71" t="s">
        <v>33</v>
      </c>
      <c r="G71" t="s">
        <v>38</v>
      </c>
      <c r="H71">
        <v>4</v>
      </c>
      <c r="I71">
        <v>4</v>
      </c>
      <c r="J71">
        <v>5</v>
      </c>
      <c r="K71">
        <v>2</v>
      </c>
      <c r="L71" t="s">
        <v>39</v>
      </c>
    </row>
    <row r="72" spans="1:12" x14ac:dyDescent="0.35">
      <c r="A72">
        <v>18</v>
      </c>
      <c r="B72" t="s">
        <v>13</v>
      </c>
      <c r="C72" t="s">
        <v>14</v>
      </c>
      <c r="D72" t="s">
        <v>18</v>
      </c>
      <c r="E72" t="s">
        <v>30</v>
      </c>
      <c r="F72" t="s">
        <v>33</v>
      </c>
      <c r="G72" t="s">
        <v>36</v>
      </c>
      <c r="H72">
        <v>5</v>
      </c>
      <c r="I72">
        <v>3</v>
      </c>
      <c r="J72">
        <v>4</v>
      </c>
      <c r="K72">
        <v>5</v>
      </c>
      <c r="L72" t="s">
        <v>39</v>
      </c>
    </row>
    <row r="73" spans="1:12" x14ac:dyDescent="0.35">
      <c r="A73">
        <v>25</v>
      </c>
      <c r="B73" t="s">
        <v>13</v>
      </c>
      <c r="C73" t="s">
        <v>15</v>
      </c>
      <c r="D73" t="s">
        <v>19</v>
      </c>
      <c r="E73" t="s">
        <v>27</v>
      </c>
      <c r="F73" t="s">
        <v>33</v>
      </c>
      <c r="G73" t="s">
        <v>38</v>
      </c>
      <c r="H73">
        <v>3</v>
      </c>
      <c r="I73">
        <v>2</v>
      </c>
      <c r="J73">
        <v>4</v>
      </c>
      <c r="K73">
        <v>4</v>
      </c>
      <c r="L73" t="s">
        <v>40</v>
      </c>
    </row>
    <row r="74" spans="1:12" x14ac:dyDescent="0.35">
      <c r="A74">
        <v>30</v>
      </c>
      <c r="B74" t="s">
        <v>13</v>
      </c>
      <c r="C74" t="s">
        <v>17</v>
      </c>
      <c r="D74" t="s">
        <v>18</v>
      </c>
      <c r="E74" t="s">
        <v>25</v>
      </c>
      <c r="F74" t="s">
        <v>35</v>
      </c>
      <c r="G74" t="s">
        <v>38</v>
      </c>
      <c r="H74">
        <v>3</v>
      </c>
      <c r="I74">
        <v>2</v>
      </c>
      <c r="J74">
        <v>3</v>
      </c>
      <c r="K74">
        <v>3</v>
      </c>
      <c r="L74" t="s">
        <v>39</v>
      </c>
    </row>
    <row r="75" spans="1:12" x14ac:dyDescent="0.35">
      <c r="A75">
        <v>25</v>
      </c>
      <c r="B75" t="s">
        <v>13</v>
      </c>
      <c r="C75" t="s">
        <v>16</v>
      </c>
      <c r="D75" t="s">
        <v>18</v>
      </c>
      <c r="E75" t="s">
        <v>26</v>
      </c>
      <c r="F75" t="s">
        <v>33</v>
      </c>
      <c r="G75" t="s">
        <v>36</v>
      </c>
      <c r="H75">
        <v>3</v>
      </c>
      <c r="I75">
        <v>1</v>
      </c>
      <c r="J75">
        <v>2</v>
      </c>
      <c r="K75">
        <v>3</v>
      </c>
      <c r="L75" t="s">
        <v>39</v>
      </c>
    </row>
    <row r="76" spans="1:12" x14ac:dyDescent="0.35">
      <c r="A76">
        <v>18</v>
      </c>
      <c r="B76" t="s">
        <v>12</v>
      </c>
      <c r="C76" t="s">
        <v>14</v>
      </c>
      <c r="D76" t="s">
        <v>19</v>
      </c>
      <c r="E76" t="s">
        <v>22</v>
      </c>
      <c r="F76" t="s">
        <v>33</v>
      </c>
      <c r="G76" t="s">
        <v>38</v>
      </c>
      <c r="H76">
        <v>4</v>
      </c>
      <c r="I76">
        <v>3</v>
      </c>
      <c r="J76">
        <v>1</v>
      </c>
      <c r="K76">
        <v>4</v>
      </c>
      <c r="L76" t="s">
        <v>39</v>
      </c>
    </row>
    <row r="77" spans="1:12" x14ac:dyDescent="0.35">
      <c r="A77">
        <v>25</v>
      </c>
      <c r="B77" t="s">
        <v>13</v>
      </c>
      <c r="C77" t="s">
        <v>14</v>
      </c>
      <c r="D77" t="s">
        <v>19</v>
      </c>
      <c r="E77" t="s">
        <v>28</v>
      </c>
      <c r="F77" t="s">
        <v>33</v>
      </c>
      <c r="G77" t="s">
        <v>37</v>
      </c>
      <c r="H77">
        <v>3</v>
      </c>
      <c r="I77">
        <v>3</v>
      </c>
      <c r="J77">
        <v>5</v>
      </c>
      <c r="K77">
        <v>2</v>
      </c>
      <c r="L77" t="s">
        <v>40</v>
      </c>
    </row>
    <row r="78" spans="1:12" x14ac:dyDescent="0.35">
      <c r="A78">
        <v>30</v>
      </c>
      <c r="B78" t="s">
        <v>13</v>
      </c>
      <c r="C78" t="s">
        <v>14</v>
      </c>
      <c r="D78" t="s">
        <v>19</v>
      </c>
      <c r="E78" t="s">
        <v>31</v>
      </c>
      <c r="F78" t="s">
        <v>33</v>
      </c>
      <c r="G78" t="s">
        <v>38</v>
      </c>
      <c r="H78">
        <v>5</v>
      </c>
      <c r="I78">
        <v>3</v>
      </c>
      <c r="J78">
        <v>2</v>
      </c>
      <c r="K78">
        <v>2</v>
      </c>
      <c r="L78" t="s">
        <v>39</v>
      </c>
    </row>
    <row r="79" spans="1:12" x14ac:dyDescent="0.35">
      <c r="A79">
        <v>30</v>
      </c>
      <c r="B79" t="s">
        <v>13</v>
      </c>
      <c r="C79" t="s">
        <v>16</v>
      </c>
      <c r="D79" t="s">
        <v>18</v>
      </c>
      <c r="E79" t="s">
        <v>27</v>
      </c>
      <c r="F79" t="s">
        <v>33</v>
      </c>
      <c r="G79" t="s">
        <v>38</v>
      </c>
      <c r="H79">
        <v>3</v>
      </c>
      <c r="I79">
        <v>3</v>
      </c>
      <c r="J79">
        <v>5</v>
      </c>
      <c r="K79">
        <v>2</v>
      </c>
      <c r="L79" t="s">
        <v>40</v>
      </c>
    </row>
    <row r="80" spans="1:12" x14ac:dyDescent="0.35">
      <c r="A80">
        <v>55</v>
      </c>
      <c r="B80" t="s">
        <v>12</v>
      </c>
      <c r="C80" t="s">
        <v>14</v>
      </c>
      <c r="D80" t="s">
        <v>20</v>
      </c>
      <c r="E80" t="s">
        <v>23</v>
      </c>
      <c r="F80" t="s">
        <v>33</v>
      </c>
      <c r="G80" t="s">
        <v>38</v>
      </c>
      <c r="H80">
        <v>3</v>
      </c>
      <c r="I80">
        <v>4</v>
      </c>
      <c r="J80">
        <v>3</v>
      </c>
      <c r="K80">
        <v>2</v>
      </c>
      <c r="L80" t="s">
        <v>39</v>
      </c>
    </row>
    <row r="81" spans="1:12" x14ac:dyDescent="0.35">
      <c r="A81">
        <v>40</v>
      </c>
      <c r="B81" t="s">
        <v>13</v>
      </c>
      <c r="C81" t="s">
        <v>14</v>
      </c>
      <c r="D81" t="s">
        <v>18</v>
      </c>
      <c r="E81" t="s">
        <v>25</v>
      </c>
      <c r="F81" t="s">
        <v>33</v>
      </c>
      <c r="G81" t="s">
        <v>38</v>
      </c>
      <c r="H81">
        <v>1</v>
      </c>
      <c r="I81">
        <v>3</v>
      </c>
      <c r="J81">
        <v>4</v>
      </c>
      <c r="K81">
        <v>2</v>
      </c>
      <c r="L81" t="s">
        <v>39</v>
      </c>
    </row>
    <row r="82" spans="1:12" x14ac:dyDescent="0.35">
      <c r="A82">
        <v>50</v>
      </c>
      <c r="B82" t="s">
        <v>12</v>
      </c>
      <c r="C82" t="s">
        <v>15</v>
      </c>
      <c r="D82" t="s">
        <v>19</v>
      </c>
      <c r="E82" t="s">
        <v>28</v>
      </c>
      <c r="F82" t="s">
        <v>35</v>
      </c>
      <c r="G82" t="s">
        <v>37</v>
      </c>
      <c r="H82">
        <v>1</v>
      </c>
      <c r="I82">
        <v>5</v>
      </c>
      <c r="J82">
        <v>1</v>
      </c>
      <c r="K82">
        <v>4</v>
      </c>
      <c r="L82" t="s">
        <v>39</v>
      </c>
    </row>
    <row r="83" spans="1:12" x14ac:dyDescent="0.35">
      <c r="A83">
        <v>25</v>
      </c>
      <c r="B83" t="s">
        <v>12</v>
      </c>
      <c r="C83" t="s">
        <v>17</v>
      </c>
      <c r="D83" t="s">
        <v>18</v>
      </c>
      <c r="E83" t="s">
        <v>22</v>
      </c>
      <c r="F83" t="s">
        <v>33</v>
      </c>
      <c r="G83" t="s">
        <v>38</v>
      </c>
      <c r="H83">
        <v>3</v>
      </c>
      <c r="I83">
        <v>2</v>
      </c>
      <c r="J83">
        <v>5</v>
      </c>
      <c r="K83">
        <v>2</v>
      </c>
      <c r="L83" t="s">
        <v>40</v>
      </c>
    </row>
    <row r="84" spans="1:12" x14ac:dyDescent="0.35">
      <c r="A84">
        <v>40</v>
      </c>
      <c r="B84" t="s">
        <v>12</v>
      </c>
      <c r="C84" t="s">
        <v>16</v>
      </c>
      <c r="D84" t="s">
        <v>18</v>
      </c>
      <c r="E84" t="s">
        <v>32</v>
      </c>
      <c r="F84" t="s">
        <v>34</v>
      </c>
      <c r="G84" t="s">
        <v>37</v>
      </c>
      <c r="H84">
        <v>1</v>
      </c>
      <c r="I84">
        <v>3</v>
      </c>
      <c r="J84">
        <v>3</v>
      </c>
      <c r="K84">
        <v>2</v>
      </c>
      <c r="L84" t="s">
        <v>39</v>
      </c>
    </row>
    <row r="85" spans="1:12" x14ac:dyDescent="0.35">
      <c r="A85">
        <v>35</v>
      </c>
      <c r="B85" t="s">
        <v>12</v>
      </c>
      <c r="C85" t="s">
        <v>15</v>
      </c>
      <c r="D85" t="s">
        <v>19</v>
      </c>
      <c r="E85" t="s">
        <v>32</v>
      </c>
      <c r="F85" t="s">
        <v>34</v>
      </c>
      <c r="G85" t="s">
        <v>38</v>
      </c>
      <c r="H85">
        <v>1</v>
      </c>
      <c r="I85">
        <v>3</v>
      </c>
      <c r="J85">
        <v>3</v>
      </c>
      <c r="K85">
        <v>2</v>
      </c>
      <c r="L85" t="s">
        <v>39</v>
      </c>
    </row>
    <row r="86" spans="1:12" x14ac:dyDescent="0.35">
      <c r="A86">
        <v>60</v>
      </c>
      <c r="B86" t="s">
        <v>13</v>
      </c>
      <c r="C86" t="s">
        <v>16</v>
      </c>
      <c r="D86" t="s">
        <v>19</v>
      </c>
      <c r="E86" t="s">
        <v>25</v>
      </c>
      <c r="F86" t="s">
        <v>33</v>
      </c>
      <c r="G86" t="s">
        <v>36</v>
      </c>
      <c r="H86">
        <v>3</v>
      </c>
      <c r="I86">
        <v>2</v>
      </c>
      <c r="J86">
        <v>5</v>
      </c>
      <c r="K86">
        <v>4</v>
      </c>
      <c r="L86" t="s">
        <v>39</v>
      </c>
    </row>
    <row r="87" spans="1:12" x14ac:dyDescent="0.35">
      <c r="A87">
        <v>55</v>
      </c>
      <c r="B87" t="s">
        <v>12</v>
      </c>
      <c r="C87" t="s">
        <v>14</v>
      </c>
      <c r="D87" t="s">
        <v>20</v>
      </c>
      <c r="E87" t="s">
        <v>24</v>
      </c>
      <c r="F87" t="s">
        <v>33</v>
      </c>
      <c r="G87" t="s">
        <v>38</v>
      </c>
      <c r="H87">
        <v>5</v>
      </c>
      <c r="I87">
        <v>1</v>
      </c>
      <c r="J87">
        <v>5</v>
      </c>
      <c r="K87">
        <v>3</v>
      </c>
      <c r="L87" t="s">
        <v>40</v>
      </c>
    </row>
    <row r="88" spans="1:12" x14ac:dyDescent="0.35">
      <c r="A88">
        <v>22</v>
      </c>
      <c r="B88" t="s">
        <v>12</v>
      </c>
      <c r="C88" t="s">
        <v>15</v>
      </c>
      <c r="D88" t="s">
        <v>19</v>
      </c>
      <c r="E88" t="s">
        <v>24</v>
      </c>
      <c r="F88" t="s">
        <v>33</v>
      </c>
      <c r="G88" t="s">
        <v>38</v>
      </c>
      <c r="H88">
        <v>3</v>
      </c>
      <c r="I88">
        <v>1</v>
      </c>
      <c r="J88">
        <v>5</v>
      </c>
      <c r="K88">
        <v>2</v>
      </c>
      <c r="L88" t="s">
        <v>40</v>
      </c>
    </row>
    <row r="89" spans="1:12" x14ac:dyDescent="0.35">
      <c r="A89">
        <v>18</v>
      </c>
      <c r="B89" t="s">
        <v>13</v>
      </c>
      <c r="C89" t="s">
        <v>16</v>
      </c>
      <c r="D89" t="s">
        <v>20</v>
      </c>
      <c r="E89" t="s">
        <v>22</v>
      </c>
      <c r="F89" t="s">
        <v>33</v>
      </c>
      <c r="G89" t="s">
        <v>36</v>
      </c>
      <c r="H89">
        <v>4</v>
      </c>
      <c r="I89">
        <v>2</v>
      </c>
      <c r="J89">
        <v>1</v>
      </c>
      <c r="K89">
        <v>3</v>
      </c>
      <c r="L89" t="s">
        <v>39</v>
      </c>
    </row>
    <row r="90" spans="1:12" x14ac:dyDescent="0.35">
      <c r="A90">
        <v>40</v>
      </c>
      <c r="B90" t="s">
        <v>12</v>
      </c>
      <c r="C90" t="s">
        <v>15</v>
      </c>
      <c r="D90" t="s">
        <v>19</v>
      </c>
      <c r="E90" t="s">
        <v>30</v>
      </c>
      <c r="F90" t="s">
        <v>33</v>
      </c>
      <c r="G90" t="s">
        <v>36</v>
      </c>
      <c r="H90">
        <v>5</v>
      </c>
      <c r="I90">
        <v>5</v>
      </c>
      <c r="J90">
        <v>5</v>
      </c>
      <c r="K90">
        <v>5</v>
      </c>
      <c r="L90" t="s">
        <v>39</v>
      </c>
    </row>
    <row r="91" spans="1:12" x14ac:dyDescent="0.35">
      <c r="A91">
        <v>22</v>
      </c>
      <c r="B91" t="s">
        <v>12</v>
      </c>
      <c r="C91" t="s">
        <v>15</v>
      </c>
      <c r="D91" t="s">
        <v>19</v>
      </c>
      <c r="E91" t="s">
        <v>21</v>
      </c>
      <c r="F91" t="s">
        <v>33</v>
      </c>
      <c r="G91" t="s">
        <v>37</v>
      </c>
      <c r="H91">
        <v>4</v>
      </c>
      <c r="I91">
        <v>2</v>
      </c>
      <c r="J91">
        <v>5</v>
      </c>
      <c r="K91">
        <v>3</v>
      </c>
      <c r="L91" t="s">
        <v>40</v>
      </c>
    </row>
    <row r="92" spans="1:12" x14ac:dyDescent="0.35">
      <c r="A92">
        <v>60</v>
      </c>
      <c r="B92" t="s">
        <v>13</v>
      </c>
      <c r="C92" t="s">
        <v>14</v>
      </c>
      <c r="D92" t="s">
        <v>19</v>
      </c>
      <c r="E92" t="s">
        <v>22</v>
      </c>
      <c r="F92" t="s">
        <v>33</v>
      </c>
      <c r="G92" t="s">
        <v>38</v>
      </c>
      <c r="H92">
        <v>5</v>
      </c>
      <c r="I92">
        <v>4</v>
      </c>
      <c r="J92">
        <v>4</v>
      </c>
      <c r="K92">
        <v>5</v>
      </c>
      <c r="L92" t="s">
        <v>39</v>
      </c>
    </row>
    <row r="93" spans="1:12" x14ac:dyDescent="0.35">
      <c r="A93">
        <v>22</v>
      </c>
      <c r="B93" t="s">
        <v>12</v>
      </c>
      <c r="C93" t="s">
        <v>14</v>
      </c>
      <c r="D93" t="s">
        <v>19</v>
      </c>
      <c r="E93" t="s">
        <v>21</v>
      </c>
      <c r="F93" t="s">
        <v>33</v>
      </c>
      <c r="G93" t="s">
        <v>36</v>
      </c>
      <c r="H93">
        <v>5</v>
      </c>
      <c r="I93">
        <v>2</v>
      </c>
      <c r="J93">
        <v>5</v>
      </c>
      <c r="K93">
        <v>3</v>
      </c>
      <c r="L93" t="s">
        <v>39</v>
      </c>
    </row>
    <row r="94" spans="1:12" x14ac:dyDescent="0.35">
      <c r="A94">
        <v>40</v>
      </c>
      <c r="B94" t="s">
        <v>13</v>
      </c>
      <c r="C94" t="s">
        <v>14</v>
      </c>
      <c r="D94" t="s">
        <v>18</v>
      </c>
      <c r="E94" t="s">
        <v>31</v>
      </c>
      <c r="F94" t="s">
        <v>34</v>
      </c>
      <c r="G94" t="s">
        <v>37</v>
      </c>
      <c r="H94">
        <v>2</v>
      </c>
      <c r="I94">
        <v>3</v>
      </c>
      <c r="J94">
        <v>1</v>
      </c>
      <c r="K94">
        <v>1</v>
      </c>
      <c r="L94" t="s">
        <v>39</v>
      </c>
    </row>
    <row r="95" spans="1:12" x14ac:dyDescent="0.35">
      <c r="A95">
        <v>60</v>
      </c>
      <c r="B95" t="s">
        <v>13</v>
      </c>
      <c r="C95" t="s">
        <v>15</v>
      </c>
      <c r="D95" t="s">
        <v>19</v>
      </c>
      <c r="E95" t="s">
        <v>22</v>
      </c>
      <c r="F95" t="s">
        <v>34</v>
      </c>
      <c r="G95" t="s">
        <v>38</v>
      </c>
      <c r="H95">
        <v>1</v>
      </c>
      <c r="I95">
        <v>4</v>
      </c>
      <c r="J95">
        <v>2</v>
      </c>
      <c r="K95">
        <v>4</v>
      </c>
      <c r="L95" t="s">
        <v>39</v>
      </c>
    </row>
    <row r="96" spans="1:12" x14ac:dyDescent="0.35">
      <c r="A96">
        <v>45</v>
      </c>
      <c r="B96" t="s">
        <v>13</v>
      </c>
      <c r="C96" t="s">
        <v>15</v>
      </c>
      <c r="D96" t="s">
        <v>20</v>
      </c>
      <c r="E96" t="s">
        <v>27</v>
      </c>
      <c r="F96" t="s">
        <v>34</v>
      </c>
      <c r="G96" t="s">
        <v>38</v>
      </c>
      <c r="H96">
        <v>2</v>
      </c>
      <c r="I96">
        <v>4</v>
      </c>
      <c r="J96">
        <v>1</v>
      </c>
      <c r="K96">
        <v>4</v>
      </c>
      <c r="L96" t="s">
        <v>39</v>
      </c>
    </row>
    <row r="97" spans="1:12" x14ac:dyDescent="0.35">
      <c r="A97">
        <v>25</v>
      </c>
      <c r="B97" t="s">
        <v>12</v>
      </c>
      <c r="C97" t="s">
        <v>14</v>
      </c>
      <c r="D97" t="s">
        <v>20</v>
      </c>
      <c r="E97" t="s">
        <v>25</v>
      </c>
      <c r="F97" t="s">
        <v>33</v>
      </c>
      <c r="G97" t="s">
        <v>37</v>
      </c>
      <c r="H97">
        <v>2</v>
      </c>
      <c r="I97">
        <v>4</v>
      </c>
      <c r="J97">
        <v>3</v>
      </c>
      <c r="K97">
        <v>3</v>
      </c>
      <c r="L97" t="s">
        <v>39</v>
      </c>
    </row>
    <row r="98" spans="1:12" x14ac:dyDescent="0.35">
      <c r="A98">
        <v>25</v>
      </c>
      <c r="B98" t="s">
        <v>13</v>
      </c>
      <c r="C98" t="s">
        <v>15</v>
      </c>
      <c r="D98" t="s">
        <v>19</v>
      </c>
      <c r="E98" t="s">
        <v>23</v>
      </c>
      <c r="F98" t="s">
        <v>34</v>
      </c>
      <c r="G98" t="s">
        <v>38</v>
      </c>
      <c r="H98">
        <v>1</v>
      </c>
      <c r="I98">
        <v>4</v>
      </c>
      <c r="J98">
        <v>3</v>
      </c>
      <c r="K98">
        <v>4</v>
      </c>
      <c r="L98" t="s">
        <v>39</v>
      </c>
    </row>
    <row r="99" spans="1:12" x14ac:dyDescent="0.35">
      <c r="A99">
        <v>22</v>
      </c>
      <c r="B99" t="s">
        <v>13</v>
      </c>
      <c r="C99" t="s">
        <v>16</v>
      </c>
      <c r="D99" t="s">
        <v>19</v>
      </c>
      <c r="E99" t="s">
        <v>32</v>
      </c>
      <c r="F99" t="s">
        <v>33</v>
      </c>
      <c r="G99" t="s">
        <v>38</v>
      </c>
      <c r="H99">
        <v>3</v>
      </c>
      <c r="I99">
        <v>1</v>
      </c>
      <c r="J99">
        <v>2</v>
      </c>
      <c r="K99">
        <v>5</v>
      </c>
      <c r="L99" t="s">
        <v>39</v>
      </c>
    </row>
    <row r="100" spans="1:12" x14ac:dyDescent="0.35">
      <c r="A100">
        <v>30</v>
      </c>
      <c r="B100" t="s">
        <v>12</v>
      </c>
      <c r="C100" t="s">
        <v>16</v>
      </c>
      <c r="D100" t="s">
        <v>20</v>
      </c>
      <c r="E100" t="s">
        <v>31</v>
      </c>
      <c r="F100" t="s">
        <v>33</v>
      </c>
      <c r="G100" t="s">
        <v>37</v>
      </c>
      <c r="H100">
        <v>4</v>
      </c>
      <c r="I100">
        <v>3</v>
      </c>
      <c r="J100">
        <v>4</v>
      </c>
      <c r="K100">
        <v>2</v>
      </c>
      <c r="L100" t="s">
        <v>40</v>
      </c>
    </row>
    <row r="101" spans="1:12" x14ac:dyDescent="0.35">
      <c r="A101">
        <v>22</v>
      </c>
      <c r="B101" t="s">
        <v>12</v>
      </c>
      <c r="C101" t="s">
        <v>15</v>
      </c>
      <c r="D101" t="s">
        <v>19</v>
      </c>
      <c r="E101" t="s">
        <v>29</v>
      </c>
      <c r="F101" t="s">
        <v>33</v>
      </c>
      <c r="G101" t="s">
        <v>37</v>
      </c>
      <c r="H101">
        <v>5</v>
      </c>
      <c r="I101">
        <v>2</v>
      </c>
      <c r="J101">
        <v>3</v>
      </c>
      <c r="K101">
        <v>2</v>
      </c>
      <c r="L101" t="s">
        <v>40</v>
      </c>
    </row>
    <row r="102" spans="1:12" x14ac:dyDescent="0.35">
      <c r="A102">
        <v>22</v>
      </c>
      <c r="B102" t="s">
        <v>12</v>
      </c>
      <c r="C102" t="s">
        <v>16</v>
      </c>
      <c r="D102" t="s">
        <v>19</v>
      </c>
      <c r="E102" t="s">
        <v>24</v>
      </c>
      <c r="F102" t="s">
        <v>35</v>
      </c>
      <c r="G102" t="s">
        <v>38</v>
      </c>
      <c r="H102">
        <v>1</v>
      </c>
      <c r="I102">
        <v>5</v>
      </c>
      <c r="J102">
        <v>2</v>
      </c>
      <c r="K102">
        <v>3</v>
      </c>
      <c r="L102" t="s">
        <v>39</v>
      </c>
    </row>
    <row r="103" spans="1:12" x14ac:dyDescent="0.35">
      <c r="A103">
        <v>18</v>
      </c>
      <c r="B103" t="s">
        <v>12</v>
      </c>
      <c r="C103" t="s">
        <v>14</v>
      </c>
      <c r="D103" t="s">
        <v>20</v>
      </c>
      <c r="E103" t="s">
        <v>24</v>
      </c>
      <c r="F103" t="s">
        <v>35</v>
      </c>
      <c r="G103" t="s">
        <v>36</v>
      </c>
      <c r="H103">
        <v>1</v>
      </c>
      <c r="I103">
        <v>3</v>
      </c>
      <c r="J103">
        <v>2</v>
      </c>
      <c r="K103">
        <v>2</v>
      </c>
      <c r="L103" t="s">
        <v>39</v>
      </c>
    </row>
    <row r="104" spans="1:12" x14ac:dyDescent="0.35">
      <c r="A104">
        <v>25</v>
      </c>
      <c r="B104" t="s">
        <v>13</v>
      </c>
      <c r="C104" t="s">
        <v>17</v>
      </c>
      <c r="D104" t="s">
        <v>18</v>
      </c>
      <c r="E104" t="s">
        <v>24</v>
      </c>
      <c r="F104" t="s">
        <v>33</v>
      </c>
      <c r="G104" t="s">
        <v>37</v>
      </c>
      <c r="H104">
        <v>3</v>
      </c>
      <c r="I104">
        <v>1</v>
      </c>
      <c r="J104">
        <v>4</v>
      </c>
      <c r="K104">
        <v>5</v>
      </c>
      <c r="L104" t="s">
        <v>40</v>
      </c>
    </row>
    <row r="105" spans="1:12" x14ac:dyDescent="0.35">
      <c r="A105">
        <v>35</v>
      </c>
      <c r="B105" t="s">
        <v>13</v>
      </c>
      <c r="C105" t="s">
        <v>17</v>
      </c>
      <c r="D105" t="s">
        <v>18</v>
      </c>
      <c r="E105" t="s">
        <v>30</v>
      </c>
      <c r="F105" t="s">
        <v>33</v>
      </c>
      <c r="G105" t="s">
        <v>36</v>
      </c>
      <c r="H105">
        <v>4</v>
      </c>
      <c r="I105">
        <v>2</v>
      </c>
      <c r="J105">
        <v>4</v>
      </c>
      <c r="K105">
        <v>1</v>
      </c>
      <c r="L105" t="s">
        <v>39</v>
      </c>
    </row>
    <row r="106" spans="1:12" x14ac:dyDescent="0.35">
      <c r="A106">
        <v>18</v>
      </c>
      <c r="B106" t="s">
        <v>12</v>
      </c>
      <c r="C106" t="s">
        <v>15</v>
      </c>
      <c r="D106" t="s">
        <v>19</v>
      </c>
      <c r="E106" t="s">
        <v>24</v>
      </c>
      <c r="F106" t="s">
        <v>34</v>
      </c>
      <c r="G106" t="s">
        <v>38</v>
      </c>
      <c r="H106">
        <v>1</v>
      </c>
      <c r="I106">
        <v>3</v>
      </c>
      <c r="J106">
        <v>2</v>
      </c>
      <c r="K106">
        <v>3</v>
      </c>
      <c r="L106" t="s">
        <v>39</v>
      </c>
    </row>
    <row r="107" spans="1:12" x14ac:dyDescent="0.35">
      <c r="A107">
        <v>18</v>
      </c>
      <c r="B107" t="s">
        <v>12</v>
      </c>
      <c r="C107" t="s">
        <v>17</v>
      </c>
      <c r="D107" t="s">
        <v>19</v>
      </c>
      <c r="E107" t="s">
        <v>28</v>
      </c>
      <c r="F107" t="s">
        <v>33</v>
      </c>
      <c r="G107" t="s">
        <v>37</v>
      </c>
      <c r="H107">
        <v>3</v>
      </c>
      <c r="I107">
        <v>1</v>
      </c>
      <c r="J107">
        <v>4</v>
      </c>
      <c r="K107">
        <v>3</v>
      </c>
      <c r="L107" t="s">
        <v>40</v>
      </c>
    </row>
    <row r="108" spans="1:12" x14ac:dyDescent="0.35">
      <c r="A108">
        <v>35</v>
      </c>
      <c r="B108" t="s">
        <v>13</v>
      </c>
      <c r="C108" t="s">
        <v>15</v>
      </c>
      <c r="D108" t="s">
        <v>20</v>
      </c>
      <c r="E108" t="s">
        <v>32</v>
      </c>
      <c r="F108" t="s">
        <v>33</v>
      </c>
      <c r="G108" t="s">
        <v>37</v>
      </c>
      <c r="H108">
        <v>4</v>
      </c>
      <c r="I108">
        <v>1</v>
      </c>
      <c r="J108">
        <v>1</v>
      </c>
      <c r="K108">
        <v>5</v>
      </c>
      <c r="L108" t="s">
        <v>39</v>
      </c>
    </row>
    <row r="109" spans="1:12" x14ac:dyDescent="0.35">
      <c r="A109">
        <v>35</v>
      </c>
      <c r="B109" t="s">
        <v>12</v>
      </c>
      <c r="C109" t="s">
        <v>14</v>
      </c>
      <c r="D109" t="s">
        <v>19</v>
      </c>
      <c r="E109" t="s">
        <v>28</v>
      </c>
      <c r="F109" t="s">
        <v>34</v>
      </c>
      <c r="G109" t="s">
        <v>37</v>
      </c>
      <c r="H109">
        <v>1</v>
      </c>
      <c r="I109">
        <v>5</v>
      </c>
      <c r="J109">
        <v>1</v>
      </c>
      <c r="K109">
        <v>2</v>
      </c>
      <c r="L109" t="s">
        <v>39</v>
      </c>
    </row>
    <row r="110" spans="1:12" x14ac:dyDescent="0.35">
      <c r="A110">
        <v>55</v>
      </c>
      <c r="B110" t="s">
        <v>12</v>
      </c>
      <c r="C110" t="s">
        <v>14</v>
      </c>
      <c r="D110" t="s">
        <v>20</v>
      </c>
      <c r="E110" t="s">
        <v>22</v>
      </c>
      <c r="F110" t="s">
        <v>33</v>
      </c>
      <c r="G110" t="s">
        <v>37</v>
      </c>
      <c r="H110">
        <v>3</v>
      </c>
      <c r="I110">
        <v>2</v>
      </c>
      <c r="J110">
        <v>5</v>
      </c>
      <c r="K110">
        <v>5</v>
      </c>
      <c r="L110" t="s">
        <v>40</v>
      </c>
    </row>
    <row r="111" spans="1:12" x14ac:dyDescent="0.35">
      <c r="A111">
        <v>30</v>
      </c>
      <c r="B111" t="s">
        <v>12</v>
      </c>
      <c r="C111" t="s">
        <v>14</v>
      </c>
      <c r="D111" t="s">
        <v>19</v>
      </c>
      <c r="E111" t="s">
        <v>30</v>
      </c>
      <c r="F111" t="s">
        <v>33</v>
      </c>
      <c r="G111" t="s">
        <v>38</v>
      </c>
      <c r="H111">
        <v>5</v>
      </c>
      <c r="I111">
        <v>3</v>
      </c>
      <c r="J111">
        <v>4</v>
      </c>
      <c r="K111">
        <v>5</v>
      </c>
      <c r="L111" t="s">
        <v>40</v>
      </c>
    </row>
    <row r="112" spans="1:12" x14ac:dyDescent="0.35">
      <c r="A112">
        <v>30</v>
      </c>
      <c r="B112" t="s">
        <v>12</v>
      </c>
      <c r="C112" t="s">
        <v>16</v>
      </c>
      <c r="D112" t="s">
        <v>19</v>
      </c>
      <c r="E112" t="s">
        <v>22</v>
      </c>
      <c r="F112" t="s">
        <v>33</v>
      </c>
      <c r="G112" t="s">
        <v>38</v>
      </c>
      <c r="H112">
        <v>5</v>
      </c>
      <c r="I112">
        <v>2</v>
      </c>
      <c r="J112">
        <v>1</v>
      </c>
      <c r="K112">
        <v>5</v>
      </c>
      <c r="L112" t="s">
        <v>39</v>
      </c>
    </row>
    <row r="113" spans="1:12" x14ac:dyDescent="0.35">
      <c r="A113">
        <v>45</v>
      </c>
      <c r="B113" t="s">
        <v>12</v>
      </c>
      <c r="C113" t="s">
        <v>17</v>
      </c>
      <c r="D113" t="s">
        <v>20</v>
      </c>
      <c r="E113" t="s">
        <v>32</v>
      </c>
      <c r="F113" t="s">
        <v>33</v>
      </c>
      <c r="G113" t="s">
        <v>37</v>
      </c>
      <c r="H113">
        <v>5</v>
      </c>
      <c r="I113">
        <v>3</v>
      </c>
      <c r="J113">
        <v>3</v>
      </c>
      <c r="K113">
        <v>2</v>
      </c>
      <c r="L113" t="s">
        <v>40</v>
      </c>
    </row>
    <row r="114" spans="1:12" x14ac:dyDescent="0.35">
      <c r="A114">
        <v>35</v>
      </c>
      <c r="B114" t="s">
        <v>13</v>
      </c>
      <c r="C114" t="s">
        <v>16</v>
      </c>
      <c r="D114" t="s">
        <v>19</v>
      </c>
      <c r="E114" t="s">
        <v>22</v>
      </c>
      <c r="F114" t="s">
        <v>33</v>
      </c>
      <c r="G114" t="s">
        <v>38</v>
      </c>
      <c r="H114">
        <v>3</v>
      </c>
      <c r="I114">
        <v>1</v>
      </c>
      <c r="J114">
        <v>3</v>
      </c>
      <c r="K114">
        <v>2</v>
      </c>
      <c r="L114" t="s">
        <v>40</v>
      </c>
    </row>
    <row r="115" spans="1:12" x14ac:dyDescent="0.35">
      <c r="A115">
        <v>18</v>
      </c>
      <c r="B115" t="s">
        <v>12</v>
      </c>
      <c r="C115" t="s">
        <v>16</v>
      </c>
      <c r="D115" t="s">
        <v>18</v>
      </c>
      <c r="E115" t="s">
        <v>24</v>
      </c>
      <c r="F115" t="s">
        <v>34</v>
      </c>
      <c r="G115" t="s">
        <v>36</v>
      </c>
      <c r="H115">
        <v>2</v>
      </c>
      <c r="I115">
        <v>4</v>
      </c>
      <c r="J115">
        <v>2</v>
      </c>
      <c r="K115">
        <v>1</v>
      </c>
      <c r="L115" t="s">
        <v>39</v>
      </c>
    </row>
    <row r="116" spans="1:12" x14ac:dyDescent="0.35">
      <c r="A116">
        <v>25</v>
      </c>
      <c r="B116" t="s">
        <v>12</v>
      </c>
      <c r="C116" t="s">
        <v>15</v>
      </c>
      <c r="D116" t="s">
        <v>20</v>
      </c>
      <c r="E116" t="s">
        <v>32</v>
      </c>
      <c r="F116" t="s">
        <v>33</v>
      </c>
      <c r="G116" t="s">
        <v>38</v>
      </c>
      <c r="H116">
        <v>5</v>
      </c>
      <c r="I116">
        <v>5</v>
      </c>
      <c r="J116">
        <v>4</v>
      </c>
      <c r="K116">
        <v>2</v>
      </c>
      <c r="L116" t="s">
        <v>39</v>
      </c>
    </row>
    <row r="117" spans="1:12" x14ac:dyDescent="0.35">
      <c r="A117">
        <v>45</v>
      </c>
      <c r="B117" t="s">
        <v>12</v>
      </c>
      <c r="C117" t="s">
        <v>15</v>
      </c>
      <c r="D117" t="s">
        <v>19</v>
      </c>
      <c r="E117" t="s">
        <v>32</v>
      </c>
      <c r="F117" t="s">
        <v>33</v>
      </c>
      <c r="G117" t="s">
        <v>38</v>
      </c>
      <c r="H117">
        <v>2</v>
      </c>
      <c r="I117">
        <v>4</v>
      </c>
      <c r="J117">
        <v>3</v>
      </c>
      <c r="K117">
        <v>4</v>
      </c>
      <c r="L117" t="s">
        <v>39</v>
      </c>
    </row>
    <row r="118" spans="1:12" x14ac:dyDescent="0.35">
      <c r="A118">
        <v>30</v>
      </c>
      <c r="B118" t="s">
        <v>12</v>
      </c>
      <c r="C118" t="s">
        <v>16</v>
      </c>
      <c r="D118" t="s">
        <v>19</v>
      </c>
      <c r="E118" t="s">
        <v>29</v>
      </c>
      <c r="F118" t="s">
        <v>34</v>
      </c>
      <c r="G118" t="s">
        <v>38</v>
      </c>
      <c r="H118">
        <v>1</v>
      </c>
      <c r="I118">
        <v>5</v>
      </c>
      <c r="J118">
        <v>1</v>
      </c>
      <c r="K118">
        <v>4</v>
      </c>
      <c r="L118" t="s">
        <v>39</v>
      </c>
    </row>
    <row r="119" spans="1:12" x14ac:dyDescent="0.35">
      <c r="A119">
        <v>22</v>
      </c>
      <c r="B119" t="s">
        <v>12</v>
      </c>
      <c r="C119" t="s">
        <v>16</v>
      </c>
      <c r="D119" t="s">
        <v>19</v>
      </c>
      <c r="E119" t="s">
        <v>30</v>
      </c>
      <c r="F119" t="s">
        <v>33</v>
      </c>
      <c r="G119" t="s">
        <v>38</v>
      </c>
      <c r="H119">
        <v>4</v>
      </c>
      <c r="I119">
        <v>2</v>
      </c>
      <c r="J119">
        <v>4</v>
      </c>
      <c r="K119">
        <v>2</v>
      </c>
      <c r="L119" t="s">
        <v>40</v>
      </c>
    </row>
    <row r="120" spans="1:12" x14ac:dyDescent="0.35">
      <c r="A120">
        <v>22</v>
      </c>
      <c r="B120" t="s">
        <v>13</v>
      </c>
      <c r="C120" t="s">
        <v>17</v>
      </c>
      <c r="D120" t="s">
        <v>18</v>
      </c>
      <c r="E120" t="s">
        <v>24</v>
      </c>
      <c r="F120" t="s">
        <v>33</v>
      </c>
      <c r="G120" t="s">
        <v>38</v>
      </c>
      <c r="H120">
        <v>2</v>
      </c>
      <c r="I120">
        <v>4</v>
      </c>
      <c r="J120">
        <v>4</v>
      </c>
      <c r="K120">
        <v>2</v>
      </c>
      <c r="L120" t="s">
        <v>39</v>
      </c>
    </row>
    <row r="121" spans="1:12" x14ac:dyDescent="0.35">
      <c r="A121">
        <v>40</v>
      </c>
      <c r="B121" t="s">
        <v>12</v>
      </c>
      <c r="C121" t="s">
        <v>14</v>
      </c>
      <c r="D121" t="s">
        <v>20</v>
      </c>
      <c r="E121" t="s">
        <v>30</v>
      </c>
      <c r="F121" t="s">
        <v>34</v>
      </c>
      <c r="G121" t="s">
        <v>37</v>
      </c>
      <c r="H121">
        <v>2</v>
      </c>
      <c r="I121">
        <v>4</v>
      </c>
      <c r="J121">
        <v>1</v>
      </c>
      <c r="K121">
        <v>3</v>
      </c>
      <c r="L121" t="s">
        <v>39</v>
      </c>
    </row>
    <row r="122" spans="1:12" x14ac:dyDescent="0.35">
      <c r="A122">
        <v>18</v>
      </c>
      <c r="B122" t="s">
        <v>12</v>
      </c>
      <c r="C122" t="s">
        <v>15</v>
      </c>
      <c r="D122" t="s">
        <v>18</v>
      </c>
      <c r="E122" t="s">
        <v>30</v>
      </c>
      <c r="F122" t="s">
        <v>33</v>
      </c>
      <c r="G122" t="s">
        <v>36</v>
      </c>
      <c r="H122">
        <v>1</v>
      </c>
      <c r="I122">
        <v>3</v>
      </c>
      <c r="J122">
        <v>2</v>
      </c>
      <c r="K122">
        <v>4</v>
      </c>
      <c r="L122" t="s">
        <v>39</v>
      </c>
    </row>
    <row r="123" spans="1:12" x14ac:dyDescent="0.35">
      <c r="A123">
        <v>25</v>
      </c>
      <c r="B123" t="s">
        <v>12</v>
      </c>
      <c r="C123" t="s">
        <v>16</v>
      </c>
      <c r="D123" t="s">
        <v>19</v>
      </c>
      <c r="E123" t="s">
        <v>24</v>
      </c>
      <c r="F123" t="s">
        <v>34</v>
      </c>
      <c r="G123" t="s">
        <v>37</v>
      </c>
      <c r="H123">
        <v>1</v>
      </c>
      <c r="I123">
        <v>5</v>
      </c>
      <c r="J123">
        <v>2</v>
      </c>
      <c r="K123">
        <v>4</v>
      </c>
      <c r="L123" t="s">
        <v>39</v>
      </c>
    </row>
    <row r="124" spans="1:12" x14ac:dyDescent="0.35">
      <c r="A124">
        <v>60</v>
      </c>
      <c r="B124" t="s">
        <v>12</v>
      </c>
      <c r="C124" t="s">
        <v>17</v>
      </c>
      <c r="D124" t="s">
        <v>18</v>
      </c>
      <c r="E124" t="s">
        <v>29</v>
      </c>
      <c r="F124" t="s">
        <v>34</v>
      </c>
      <c r="G124" t="s">
        <v>38</v>
      </c>
      <c r="H124">
        <v>2</v>
      </c>
      <c r="I124">
        <v>4</v>
      </c>
      <c r="J124">
        <v>1</v>
      </c>
      <c r="K124">
        <v>3</v>
      </c>
      <c r="L124" t="s">
        <v>39</v>
      </c>
    </row>
    <row r="125" spans="1:12" x14ac:dyDescent="0.35">
      <c r="A125">
        <v>25</v>
      </c>
      <c r="B125" t="s">
        <v>13</v>
      </c>
      <c r="C125" t="s">
        <v>15</v>
      </c>
      <c r="D125" t="s">
        <v>20</v>
      </c>
      <c r="E125" t="s">
        <v>30</v>
      </c>
      <c r="F125" t="s">
        <v>33</v>
      </c>
      <c r="G125" t="s">
        <v>38</v>
      </c>
      <c r="H125">
        <v>3</v>
      </c>
      <c r="I125">
        <v>2</v>
      </c>
      <c r="J125">
        <v>5</v>
      </c>
      <c r="K125">
        <v>4</v>
      </c>
      <c r="L125" t="s">
        <v>40</v>
      </c>
    </row>
    <row r="126" spans="1:12" x14ac:dyDescent="0.35">
      <c r="A126">
        <v>22</v>
      </c>
      <c r="B126" t="s">
        <v>13</v>
      </c>
      <c r="C126" t="s">
        <v>14</v>
      </c>
      <c r="D126" t="s">
        <v>19</v>
      </c>
      <c r="E126" t="s">
        <v>28</v>
      </c>
      <c r="F126" t="s">
        <v>33</v>
      </c>
      <c r="G126" t="s">
        <v>37</v>
      </c>
      <c r="H126">
        <v>2</v>
      </c>
      <c r="I126">
        <v>3</v>
      </c>
      <c r="J126">
        <v>3</v>
      </c>
      <c r="K126">
        <v>3</v>
      </c>
      <c r="L126" t="s">
        <v>39</v>
      </c>
    </row>
    <row r="127" spans="1:12" x14ac:dyDescent="0.35">
      <c r="A127">
        <v>22</v>
      </c>
      <c r="B127" t="s">
        <v>12</v>
      </c>
      <c r="C127" t="s">
        <v>17</v>
      </c>
      <c r="D127" t="s">
        <v>20</v>
      </c>
      <c r="E127" t="s">
        <v>25</v>
      </c>
      <c r="F127" t="s">
        <v>33</v>
      </c>
      <c r="G127" t="s">
        <v>37</v>
      </c>
      <c r="H127">
        <v>5</v>
      </c>
      <c r="I127">
        <v>1</v>
      </c>
      <c r="J127">
        <v>2</v>
      </c>
      <c r="K127">
        <v>1</v>
      </c>
      <c r="L127" t="s">
        <v>39</v>
      </c>
    </row>
    <row r="128" spans="1:12" x14ac:dyDescent="0.35">
      <c r="A128">
        <v>35</v>
      </c>
      <c r="B128" t="s">
        <v>12</v>
      </c>
      <c r="C128" t="s">
        <v>15</v>
      </c>
      <c r="D128" t="s">
        <v>18</v>
      </c>
      <c r="E128" t="s">
        <v>31</v>
      </c>
      <c r="F128" t="s">
        <v>35</v>
      </c>
      <c r="G128" t="s">
        <v>36</v>
      </c>
      <c r="H128">
        <v>2</v>
      </c>
      <c r="I128">
        <v>4</v>
      </c>
      <c r="J128">
        <v>1</v>
      </c>
      <c r="K128">
        <v>4</v>
      </c>
      <c r="L128" t="s">
        <v>39</v>
      </c>
    </row>
    <row r="129" spans="1:12" x14ac:dyDescent="0.35">
      <c r="A129">
        <v>25</v>
      </c>
      <c r="B129" t="s">
        <v>13</v>
      </c>
      <c r="C129" t="s">
        <v>14</v>
      </c>
      <c r="D129" t="s">
        <v>19</v>
      </c>
      <c r="E129" t="s">
        <v>28</v>
      </c>
      <c r="F129" t="s">
        <v>34</v>
      </c>
      <c r="G129" t="s">
        <v>37</v>
      </c>
      <c r="H129">
        <v>2</v>
      </c>
      <c r="I129">
        <v>3</v>
      </c>
      <c r="J129">
        <v>3</v>
      </c>
      <c r="K129">
        <v>1</v>
      </c>
      <c r="L129" t="s">
        <v>39</v>
      </c>
    </row>
    <row r="130" spans="1:12" x14ac:dyDescent="0.35">
      <c r="A130">
        <v>22</v>
      </c>
      <c r="B130" t="s">
        <v>13</v>
      </c>
      <c r="C130" t="s">
        <v>16</v>
      </c>
      <c r="D130" t="s">
        <v>19</v>
      </c>
      <c r="E130" t="s">
        <v>28</v>
      </c>
      <c r="F130" t="s">
        <v>33</v>
      </c>
      <c r="G130" t="s">
        <v>38</v>
      </c>
      <c r="H130">
        <v>5</v>
      </c>
      <c r="I130">
        <v>1</v>
      </c>
      <c r="J130">
        <v>4</v>
      </c>
      <c r="K130">
        <v>4</v>
      </c>
      <c r="L130" t="s">
        <v>40</v>
      </c>
    </row>
    <row r="131" spans="1:12" x14ac:dyDescent="0.35">
      <c r="A131">
        <v>30</v>
      </c>
      <c r="B131" t="s">
        <v>12</v>
      </c>
      <c r="C131" t="s">
        <v>15</v>
      </c>
      <c r="D131" t="s">
        <v>20</v>
      </c>
      <c r="E131" t="s">
        <v>29</v>
      </c>
      <c r="F131" t="s">
        <v>33</v>
      </c>
      <c r="G131" t="s">
        <v>37</v>
      </c>
      <c r="H131">
        <v>1</v>
      </c>
      <c r="I131">
        <v>3</v>
      </c>
      <c r="J131">
        <v>5</v>
      </c>
      <c r="K131">
        <v>2</v>
      </c>
      <c r="L131" t="s">
        <v>39</v>
      </c>
    </row>
    <row r="132" spans="1:12" x14ac:dyDescent="0.35">
      <c r="A132">
        <v>55</v>
      </c>
      <c r="B132" t="s">
        <v>12</v>
      </c>
      <c r="C132" t="s">
        <v>16</v>
      </c>
      <c r="D132" t="s">
        <v>19</v>
      </c>
      <c r="E132" t="s">
        <v>32</v>
      </c>
      <c r="F132" t="s">
        <v>33</v>
      </c>
      <c r="G132" t="s">
        <v>37</v>
      </c>
      <c r="H132">
        <v>3</v>
      </c>
      <c r="I132">
        <v>2</v>
      </c>
      <c r="J132">
        <v>4</v>
      </c>
      <c r="K132">
        <v>3</v>
      </c>
      <c r="L132" t="s">
        <v>40</v>
      </c>
    </row>
    <row r="133" spans="1:12" x14ac:dyDescent="0.35">
      <c r="A133">
        <v>60</v>
      </c>
      <c r="B133" t="s">
        <v>13</v>
      </c>
      <c r="C133" t="s">
        <v>16</v>
      </c>
      <c r="D133" t="s">
        <v>18</v>
      </c>
      <c r="E133" t="s">
        <v>24</v>
      </c>
      <c r="F133" t="s">
        <v>33</v>
      </c>
      <c r="G133" t="s">
        <v>37</v>
      </c>
      <c r="H133">
        <v>4</v>
      </c>
      <c r="I133">
        <v>4</v>
      </c>
      <c r="J133">
        <v>4</v>
      </c>
      <c r="K133">
        <v>4</v>
      </c>
      <c r="L133" t="s">
        <v>39</v>
      </c>
    </row>
    <row r="134" spans="1:12" x14ac:dyDescent="0.35">
      <c r="A134">
        <v>22</v>
      </c>
      <c r="B134" t="s">
        <v>13</v>
      </c>
      <c r="C134" t="s">
        <v>15</v>
      </c>
      <c r="D134" t="s">
        <v>18</v>
      </c>
      <c r="E134" t="s">
        <v>32</v>
      </c>
      <c r="F134" t="s">
        <v>33</v>
      </c>
      <c r="G134" t="s">
        <v>37</v>
      </c>
      <c r="H134">
        <v>4</v>
      </c>
      <c r="I134">
        <v>3</v>
      </c>
      <c r="J134">
        <v>3</v>
      </c>
      <c r="K134">
        <v>4</v>
      </c>
      <c r="L134" t="s">
        <v>40</v>
      </c>
    </row>
    <row r="135" spans="1:12" x14ac:dyDescent="0.35">
      <c r="A135">
        <v>25</v>
      </c>
      <c r="B135" t="s">
        <v>12</v>
      </c>
      <c r="C135" t="s">
        <v>16</v>
      </c>
      <c r="D135" t="s">
        <v>18</v>
      </c>
      <c r="E135" t="s">
        <v>29</v>
      </c>
      <c r="F135" t="s">
        <v>33</v>
      </c>
      <c r="G135" t="s">
        <v>37</v>
      </c>
      <c r="H135">
        <v>5</v>
      </c>
      <c r="I135">
        <v>1</v>
      </c>
      <c r="J135">
        <v>5</v>
      </c>
      <c r="K135">
        <v>1</v>
      </c>
      <c r="L135" t="s">
        <v>40</v>
      </c>
    </row>
    <row r="136" spans="1:12" x14ac:dyDescent="0.35">
      <c r="A136">
        <v>30</v>
      </c>
      <c r="B136" t="s">
        <v>12</v>
      </c>
      <c r="C136" t="s">
        <v>16</v>
      </c>
      <c r="D136" t="s">
        <v>19</v>
      </c>
      <c r="E136" t="s">
        <v>25</v>
      </c>
      <c r="F136" t="s">
        <v>33</v>
      </c>
      <c r="G136" t="s">
        <v>37</v>
      </c>
      <c r="H136">
        <v>2</v>
      </c>
      <c r="I136">
        <v>5</v>
      </c>
      <c r="J136">
        <v>4</v>
      </c>
      <c r="K136">
        <v>1</v>
      </c>
      <c r="L136" t="s">
        <v>39</v>
      </c>
    </row>
    <row r="137" spans="1:12" x14ac:dyDescent="0.35">
      <c r="A137">
        <v>25</v>
      </c>
      <c r="B137" t="s">
        <v>13</v>
      </c>
      <c r="C137" t="s">
        <v>17</v>
      </c>
      <c r="D137" t="s">
        <v>19</v>
      </c>
      <c r="E137" t="s">
        <v>28</v>
      </c>
      <c r="F137" t="s">
        <v>34</v>
      </c>
      <c r="G137" t="s">
        <v>38</v>
      </c>
      <c r="H137">
        <v>2</v>
      </c>
      <c r="I137">
        <v>5</v>
      </c>
      <c r="J137">
        <v>1</v>
      </c>
      <c r="K137">
        <v>2</v>
      </c>
      <c r="L137" t="s">
        <v>39</v>
      </c>
    </row>
    <row r="138" spans="1:12" x14ac:dyDescent="0.35">
      <c r="A138">
        <v>22</v>
      </c>
      <c r="B138" t="s">
        <v>12</v>
      </c>
      <c r="C138" t="s">
        <v>16</v>
      </c>
      <c r="D138" t="s">
        <v>18</v>
      </c>
      <c r="E138" t="s">
        <v>23</v>
      </c>
      <c r="F138" t="s">
        <v>33</v>
      </c>
      <c r="G138" t="s">
        <v>37</v>
      </c>
      <c r="H138">
        <v>3</v>
      </c>
      <c r="I138">
        <v>3</v>
      </c>
      <c r="J138">
        <v>3</v>
      </c>
      <c r="K138">
        <v>3</v>
      </c>
      <c r="L138" t="s">
        <v>40</v>
      </c>
    </row>
    <row r="139" spans="1:12" x14ac:dyDescent="0.35">
      <c r="A139">
        <v>25</v>
      </c>
      <c r="B139" t="s">
        <v>13</v>
      </c>
      <c r="C139" t="s">
        <v>15</v>
      </c>
      <c r="D139" t="s">
        <v>20</v>
      </c>
      <c r="E139" t="s">
        <v>30</v>
      </c>
      <c r="F139" t="s">
        <v>33</v>
      </c>
      <c r="G139" t="s">
        <v>38</v>
      </c>
      <c r="H139">
        <v>5</v>
      </c>
      <c r="I139">
        <v>2</v>
      </c>
      <c r="J139">
        <v>5</v>
      </c>
      <c r="K139">
        <v>2</v>
      </c>
      <c r="L139" t="s">
        <v>40</v>
      </c>
    </row>
    <row r="140" spans="1:12" x14ac:dyDescent="0.35">
      <c r="A140">
        <v>60</v>
      </c>
      <c r="B140" t="s">
        <v>13</v>
      </c>
      <c r="C140" t="s">
        <v>17</v>
      </c>
      <c r="D140" t="s">
        <v>18</v>
      </c>
      <c r="E140" t="s">
        <v>27</v>
      </c>
      <c r="F140" t="s">
        <v>33</v>
      </c>
      <c r="G140" t="s">
        <v>38</v>
      </c>
      <c r="H140">
        <v>3</v>
      </c>
      <c r="I140">
        <v>2</v>
      </c>
      <c r="J140">
        <v>4</v>
      </c>
      <c r="K140">
        <v>1</v>
      </c>
      <c r="L140" t="s">
        <v>40</v>
      </c>
    </row>
    <row r="141" spans="1:12" x14ac:dyDescent="0.35">
      <c r="A141">
        <v>35</v>
      </c>
      <c r="B141" t="s">
        <v>12</v>
      </c>
      <c r="C141" t="s">
        <v>15</v>
      </c>
      <c r="D141" t="s">
        <v>19</v>
      </c>
      <c r="E141" t="s">
        <v>22</v>
      </c>
      <c r="F141" t="s">
        <v>33</v>
      </c>
      <c r="G141" t="s">
        <v>37</v>
      </c>
      <c r="H141">
        <v>2</v>
      </c>
      <c r="I141">
        <v>4</v>
      </c>
      <c r="J141">
        <v>5</v>
      </c>
      <c r="K141">
        <v>3</v>
      </c>
      <c r="L141" t="s">
        <v>39</v>
      </c>
    </row>
    <row r="142" spans="1:12" x14ac:dyDescent="0.35">
      <c r="A142">
        <v>45</v>
      </c>
      <c r="B142" t="s">
        <v>13</v>
      </c>
      <c r="C142" t="s">
        <v>15</v>
      </c>
      <c r="D142" t="s">
        <v>19</v>
      </c>
      <c r="E142" t="s">
        <v>25</v>
      </c>
      <c r="F142" t="s">
        <v>33</v>
      </c>
      <c r="G142" t="s">
        <v>38</v>
      </c>
      <c r="H142">
        <v>5</v>
      </c>
      <c r="I142">
        <v>4</v>
      </c>
      <c r="J142">
        <v>3</v>
      </c>
      <c r="K142">
        <v>1</v>
      </c>
      <c r="L142" t="s">
        <v>39</v>
      </c>
    </row>
    <row r="143" spans="1:12" x14ac:dyDescent="0.35">
      <c r="A143">
        <v>22</v>
      </c>
      <c r="B143" t="s">
        <v>12</v>
      </c>
      <c r="C143" t="s">
        <v>14</v>
      </c>
      <c r="D143" t="s">
        <v>19</v>
      </c>
      <c r="E143" t="s">
        <v>30</v>
      </c>
      <c r="F143" t="s">
        <v>33</v>
      </c>
      <c r="G143" t="s">
        <v>37</v>
      </c>
      <c r="H143">
        <v>5</v>
      </c>
      <c r="I143">
        <v>3</v>
      </c>
      <c r="J143">
        <v>5</v>
      </c>
      <c r="K143">
        <v>1</v>
      </c>
      <c r="L143" t="s">
        <v>40</v>
      </c>
    </row>
    <row r="144" spans="1:12" x14ac:dyDescent="0.35">
      <c r="A144">
        <v>18</v>
      </c>
      <c r="B144" t="s">
        <v>13</v>
      </c>
      <c r="C144" t="s">
        <v>15</v>
      </c>
      <c r="D144" t="s">
        <v>20</v>
      </c>
      <c r="E144" t="s">
        <v>28</v>
      </c>
      <c r="F144" t="s">
        <v>33</v>
      </c>
      <c r="G144" t="s">
        <v>37</v>
      </c>
      <c r="H144">
        <v>2</v>
      </c>
      <c r="I144">
        <v>4</v>
      </c>
      <c r="J144">
        <v>5</v>
      </c>
      <c r="K144">
        <v>2</v>
      </c>
      <c r="L144" t="s">
        <v>39</v>
      </c>
    </row>
    <row r="145" spans="1:12" x14ac:dyDescent="0.35">
      <c r="A145">
        <v>45</v>
      </c>
      <c r="B145" t="s">
        <v>13</v>
      </c>
      <c r="C145" t="s">
        <v>15</v>
      </c>
      <c r="D145" t="s">
        <v>19</v>
      </c>
      <c r="E145" t="s">
        <v>24</v>
      </c>
      <c r="F145" t="s">
        <v>33</v>
      </c>
      <c r="G145" t="s">
        <v>38</v>
      </c>
      <c r="H145">
        <v>5</v>
      </c>
      <c r="I145">
        <v>1</v>
      </c>
      <c r="J145">
        <v>4</v>
      </c>
      <c r="K145">
        <v>2</v>
      </c>
      <c r="L145" t="s">
        <v>40</v>
      </c>
    </row>
    <row r="146" spans="1:12" x14ac:dyDescent="0.35">
      <c r="A146">
        <v>25</v>
      </c>
      <c r="B146" t="s">
        <v>12</v>
      </c>
      <c r="C146" t="s">
        <v>14</v>
      </c>
      <c r="D146" t="s">
        <v>18</v>
      </c>
      <c r="E146" t="s">
        <v>22</v>
      </c>
      <c r="F146" t="s">
        <v>33</v>
      </c>
      <c r="G146" t="s">
        <v>38</v>
      </c>
      <c r="H146">
        <v>3</v>
      </c>
      <c r="I146">
        <v>1</v>
      </c>
      <c r="J146">
        <v>4</v>
      </c>
      <c r="K146">
        <v>2</v>
      </c>
      <c r="L146" t="s">
        <v>40</v>
      </c>
    </row>
    <row r="147" spans="1:12" x14ac:dyDescent="0.35">
      <c r="A147">
        <v>50</v>
      </c>
      <c r="B147" t="s">
        <v>12</v>
      </c>
      <c r="C147" t="s">
        <v>15</v>
      </c>
      <c r="D147" t="s">
        <v>20</v>
      </c>
      <c r="E147" t="s">
        <v>27</v>
      </c>
      <c r="F147" t="s">
        <v>34</v>
      </c>
      <c r="G147" t="s">
        <v>38</v>
      </c>
      <c r="H147">
        <v>2</v>
      </c>
      <c r="I147">
        <v>3</v>
      </c>
      <c r="J147">
        <v>2</v>
      </c>
      <c r="K147">
        <v>1</v>
      </c>
      <c r="L147" t="s">
        <v>39</v>
      </c>
    </row>
    <row r="148" spans="1:12" x14ac:dyDescent="0.35">
      <c r="A148">
        <v>40</v>
      </c>
      <c r="B148" t="s">
        <v>13</v>
      </c>
      <c r="C148" t="s">
        <v>17</v>
      </c>
      <c r="D148" t="s">
        <v>20</v>
      </c>
      <c r="E148" t="s">
        <v>24</v>
      </c>
      <c r="F148" t="s">
        <v>35</v>
      </c>
      <c r="G148" t="s">
        <v>38</v>
      </c>
      <c r="H148">
        <v>3</v>
      </c>
      <c r="I148">
        <v>2</v>
      </c>
      <c r="J148">
        <v>3</v>
      </c>
      <c r="K148">
        <v>3</v>
      </c>
      <c r="L148" t="s">
        <v>39</v>
      </c>
    </row>
    <row r="149" spans="1:12" x14ac:dyDescent="0.35">
      <c r="A149">
        <v>18</v>
      </c>
      <c r="B149" t="s">
        <v>12</v>
      </c>
      <c r="C149" t="s">
        <v>16</v>
      </c>
      <c r="D149" t="s">
        <v>19</v>
      </c>
      <c r="E149" t="s">
        <v>30</v>
      </c>
      <c r="F149" t="s">
        <v>33</v>
      </c>
      <c r="G149" t="s">
        <v>38</v>
      </c>
      <c r="H149">
        <v>2</v>
      </c>
      <c r="I149">
        <v>5</v>
      </c>
      <c r="J149">
        <v>3</v>
      </c>
      <c r="K149">
        <v>2</v>
      </c>
      <c r="L149" t="s">
        <v>39</v>
      </c>
    </row>
    <row r="150" spans="1:12" x14ac:dyDescent="0.35">
      <c r="A150">
        <v>40</v>
      </c>
      <c r="B150" t="s">
        <v>12</v>
      </c>
      <c r="C150" t="s">
        <v>14</v>
      </c>
      <c r="D150" t="s">
        <v>18</v>
      </c>
      <c r="E150" t="s">
        <v>27</v>
      </c>
      <c r="F150" t="s">
        <v>33</v>
      </c>
      <c r="G150" t="s">
        <v>37</v>
      </c>
      <c r="H150">
        <v>4</v>
      </c>
      <c r="I150">
        <v>1</v>
      </c>
      <c r="J150">
        <v>5</v>
      </c>
      <c r="K150">
        <v>2</v>
      </c>
      <c r="L150" t="s">
        <v>40</v>
      </c>
    </row>
    <row r="151" spans="1:12" x14ac:dyDescent="0.35">
      <c r="A151">
        <v>18</v>
      </c>
      <c r="B151" t="s">
        <v>13</v>
      </c>
      <c r="C151" t="s">
        <v>15</v>
      </c>
      <c r="D151" t="s">
        <v>19</v>
      </c>
      <c r="E151" t="s">
        <v>23</v>
      </c>
      <c r="F151" t="s">
        <v>33</v>
      </c>
      <c r="G151" t="s">
        <v>38</v>
      </c>
      <c r="H151">
        <v>5</v>
      </c>
      <c r="I151">
        <v>2</v>
      </c>
      <c r="J151">
        <v>4</v>
      </c>
      <c r="K151">
        <v>3</v>
      </c>
      <c r="L151" t="s">
        <v>40</v>
      </c>
    </row>
    <row r="152" spans="1:12" x14ac:dyDescent="0.35">
      <c r="A152">
        <v>25</v>
      </c>
      <c r="B152" t="s">
        <v>13</v>
      </c>
      <c r="C152" t="s">
        <v>15</v>
      </c>
      <c r="D152" t="s">
        <v>19</v>
      </c>
      <c r="E152" t="s">
        <v>26</v>
      </c>
      <c r="F152" t="s">
        <v>33</v>
      </c>
      <c r="G152" t="s">
        <v>37</v>
      </c>
      <c r="H152">
        <v>3</v>
      </c>
      <c r="I152">
        <v>3</v>
      </c>
      <c r="J152">
        <v>1</v>
      </c>
      <c r="K152">
        <v>1</v>
      </c>
      <c r="L152" t="s">
        <v>39</v>
      </c>
    </row>
    <row r="153" spans="1:12" x14ac:dyDescent="0.35">
      <c r="A153">
        <v>40</v>
      </c>
      <c r="B153" t="s">
        <v>13</v>
      </c>
      <c r="C153" t="s">
        <v>14</v>
      </c>
      <c r="D153" t="s">
        <v>19</v>
      </c>
      <c r="E153" t="s">
        <v>22</v>
      </c>
      <c r="F153" t="s">
        <v>33</v>
      </c>
      <c r="G153" t="s">
        <v>38</v>
      </c>
      <c r="H153">
        <v>5</v>
      </c>
      <c r="I153">
        <v>2</v>
      </c>
      <c r="J153">
        <v>4</v>
      </c>
      <c r="K153">
        <v>4</v>
      </c>
      <c r="L153" t="s">
        <v>40</v>
      </c>
    </row>
    <row r="154" spans="1:12" x14ac:dyDescent="0.35">
      <c r="A154">
        <v>25</v>
      </c>
      <c r="B154" t="s">
        <v>13</v>
      </c>
      <c r="C154" t="s">
        <v>16</v>
      </c>
      <c r="D154" t="s">
        <v>18</v>
      </c>
      <c r="E154" t="s">
        <v>32</v>
      </c>
      <c r="F154" t="s">
        <v>34</v>
      </c>
      <c r="G154" t="s">
        <v>38</v>
      </c>
      <c r="H154">
        <v>3</v>
      </c>
      <c r="I154">
        <v>4</v>
      </c>
      <c r="J154">
        <v>3</v>
      </c>
      <c r="K154">
        <v>5</v>
      </c>
      <c r="L154" t="s">
        <v>39</v>
      </c>
    </row>
    <row r="155" spans="1:12" x14ac:dyDescent="0.35">
      <c r="A155">
        <v>35</v>
      </c>
      <c r="B155" t="s">
        <v>12</v>
      </c>
      <c r="C155" t="s">
        <v>15</v>
      </c>
      <c r="D155" t="s">
        <v>18</v>
      </c>
      <c r="E155" t="s">
        <v>22</v>
      </c>
      <c r="F155" t="s">
        <v>33</v>
      </c>
      <c r="G155" t="s">
        <v>36</v>
      </c>
      <c r="H155">
        <v>4</v>
      </c>
      <c r="I155">
        <v>2</v>
      </c>
      <c r="J155">
        <v>5</v>
      </c>
      <c r="K155">
        <v>1</v>
      </c>
      <c r="L155" t="s">
        <v>39</v>
      </c>
    </row>
    <row r="156" spans="1:12" x14ac:dyDescent="0.35">
      <c r="A156">
        <v>50</v>
      </c>
      <c r="B156" t="s">
        <v>13</v>
      </c>
      <c r="C156" t="s">
        <v>14</v>
      </c>
      <c r="D156" t="s">
        <v>20</v>
      </c>
      <c r="E156" t="s">
        <v>25</v>
      </c>
      <c r="F156" t="s">
        <v>33</v>
      </c>
      <c r="G156" t="s">
        <v>37</v>
      </c>
      <c r="H156">
        <v>4</v>
      </c>
      <c r="I156">
        <v>2</v>
      </c>
      <c r="J156">
        <v>3</v>
      </c>
      <c r="K156">
        <v>3</v>
      </c>
      <c r="L156" t="s">
        <v>40</v>
      </c>
    </row>
    <row r="157" spans="1:12" x14ac:dyDescent="0.35">
      <c r="A157">
        <v>50</v>
      </c>
      <c r="B157" t="s">
        <v>13</v>
      </c>
      <c r="C157" t="s">
        <v>17</v>
      </c>
      <c r="D157" t="s">
        <v>18</v>
      </c>
      <c r="E157" t="s">
        <v>32</v>
      </c>
      <c r="F157" t="s">
        <v>34</v>
      </c>
      <c r="G157" t="s">
        <v>37</v>
      </c>
      <c r="H157">
        <v>1</v>
      </c>
      <c r="I157">
        <v>3</v>
      </c>
      <c r="J157">
        <v>1</v>
      </c>
      <c r="K157">
        <v>3</v>
      </c>
      <c r="L157" t="s">
        <v>39</v>
      </c>
    </row>
    <row r="158" spans="1:12" x14ac:dyDescent="0.35">
      <c r="A158">
        <v>30</v>
      </c>
      <c r="B158" t="s">
        <v>12</v>
      </c>
      <c r="C158" t="s">
        <v>16</v>
      </c>
      <c r="D158" t="s">
        <v>19</v>
      </c>
      <c r="E158" t="s">
        <v>31</v>
      </c>
      <c r="F158" t="s">
        <v>33</v>
      </c>
      <c r="G158" t="s">
        <v>37</v>
      </c>
      <c r="H158">
        <v>3</v>
      </c>
      <c r="I158">
        <v>1</v>
      </c>
      <c r="J158">
        <v>4</v>
      </c>
      <c r="K158">
        <v>3</v>
      </c>
      <c r="L158" t="s">
        <v>40</v>
      </c>
    </row>
    <row r="159" spans="1:12" x14ac:dyDescent="0.35">
      <c r="A159">
        <v>45</v>
      </c>
      <c r="B159" t="s">
        <v>13</v>
      </c>
      <c r="C159" t="s">
        <v>14</v>
      </c>
      <c r="D159" t="s">
        <v>20</v>
      </c>
      <c r="E159" t="s">
        <v>22</v>
      </c>
      <c r="F159" t="s">
        <v>33</v>
      </c>
      <c r="G159" t="s">
        <v>38</v>
      </c>
      <c r="H159">
        <v>3</v>
      </c>
      <c r="I159">
        <v>3</v>
      </c>
      <c r="J159">
        <v>5</v>
      </c>
      <c r="K159">
        <v>3</v>
      </c>
      <c r="L159" t="s">
        <v>40</v>
      </c>
    </row>
    <row r="160" spans="1:12" x14ac:dyDescent="0.35">
      <c r="A160">
        <v>35</v>
      </c>
      <c r="B160" t="s">
        <v>12</v>
      </c>
      <c r="C160" t="s">
        <v>15</v>
      </c>
      <c r="D160" t="s">
        <v>20</v>
      </c>
      <c r="E160" t="s">
        <v>32</v>
      </c>
      <c r="F160" t="s">
        <v>35</v>
      </c>
      <c r="G160" t="s">
        <v>38</v>
      </c>
      <c r="H160">
        <v>3</v>
      </c>
      <c r="I160">
        <v>2</v>
      </c>
      <c r="J160">
        <v>1</v>
      </c>
      <c r="K160">
        <v>3</v>
      </c>
      <c r="L160" t="s">
        <v>39</v>
      </c>
    </row>
    <row r="161" spans="1:12" x14ac:dyDescent="0.35">
      <c r="A161">
        <v>50</v>
      </c>
      <c r="B161" t="s">
        <v>13</v>
      </c>
      <c r="C161" t="s">
        <v>16</v>
      </c>
      <c r="D161" t="s">
        <v>20</v>
      </c>
      <c r="E161" t="s">
        <v>22</v>
      </c>
      <c r="F161" t="s">
        <v>33</v>
      </c>
      <c r="G161" t="s">
        <v>38</v>
      </c>
      <c r="H161">
        <v>3</v>
      </c>
      <c r="I161">
        <v>3</v>
      </c>
      <c r="J161">
        <v>5</v>
      </c>
      <c r="K161">
        <v>4</v>
      </c>
      <c r="L161" t="s">
        <v>40</v>
      </c>
    </row>
    <row r="162" spans="1:12" x14ac:dyDescent="0.35">
      <c r="A162">
        <v>30</v>
      </c>
      <c r="B162" t="s">
        <v>13</v>
      </c>
      <c r="C162" t="s">
        <v>14</v>
      </c>
      <c r="D162" t="s">
        <v>19</v>
      </c>
      <c r="E162" t="s">
        <v>23</v>
      </c>
      <c r="F162" t="s">
        <v>33</v>
      </c>
      <c r="G162" t="s">
        <v>36</v>
      </c>
      <c r="H162">
        <v>4</v>
      </c>
      <c r="I162">
        <v>1</v>
      </c>
      <c r="J162">
        <v>1</v>
      </c>
      <c r="K162">
        <v>1</v>
      </c>
      <c r="L162" t="s">
        <v>39</v>
      </c>
    </row>
    <row r="163" spans="1:12" x14ac:dyDescent="0.35">
      <c r="A163">
        <v>30</v>
      </c>
      <c r="B163" t="s">
        <v>12</v>
      </c>
      <c r="C163" t="s">
        <v>14</v>
      </c>
      <c r="D163" t="s">
        <v>18</v>
      </c>
      <c r="E163" t="s">
        <v>28</v>
      </c>
      <c r="F163" t="s">
        <v>33</v>
      </c>
      <c r="G163" t="s">
        <v>37</v>
      </c>
      <c r="H163">
        <v>4</v>
      </c>
      <c r="I163">
        <v>3</v>
      </c>
      <c r="J163">
        <v>5</v>
      </c>
      <c r="K163">
        <v>3</v>
      </c>
      <c r="L163" t="s">
        <v>40</v>
      </c>
    </row>
    <row r="164" spans="1:12" x14ac:dyDescent="0.35">
      <c r="A164">
        <v>22</v>
      </c>
      <c r="B164" t="s">
        <v>13</v>
      </c>
      <c r="C164" t="s">
        <v>15</v>
      </c>
      <c r="D164" t="s">
        <v>20</v>
      </c>
      <c r="E164" t="s">
        <v>26</v>
      </c>
      <c r="F164" t="s">
        <v>33</v>
      </c>
      <c r="G164" t="s">
        <v>37</v>
      </c>
      <c r="H164">
        <v>3</v>
      </c>
      <c r="I164">
        <v>2</v>
      </c>
      <c r="J164">
        <v>4</v>
      </c>
      <c r="K164">
        <v>3</v>
      </c>
      <c r="L164" t="s">
        <v>40</v>
      </c>
    </row>
    <row r="165" spans="1:12" x14ac:dyDescent="0.35">
      <c r="A165">
        <v>40</v>
      </c>
      <c r="B165" t="s">
        <v>12</v>
      </c>
      <c r="C165" t="s">
        <v>14</v>
      </c>
      <c r="D165" t="s">
        <v>19</v>
      </c>
      <c r="E165" t="s">
        <v>22</v>
      </c>
      <c r="F165" t="s">
        <v>35</v>
      </c>
      <c r="G165" t="s">
        <v>38</v>
      </c>
      <c r="H165">
        <v>2</v>
      </c>
      <c r="I165">
        <v>4</v>
      </c>
      <c r="J165">
        <v>1</v>
      </c>
      <c r="K165">
        <v>5</v>
      </c>
      <c r="L165" t="s">
        <v>39</v>
      </c>
    </row>
    <row r="166" spans="1:12" x14ac:dyDescent="0.35">
      <c r="A166">
        <v>55</v>
      </c>
      <c r="B166" t="s">
        <v>12</v>
      </c>
      <c r="C166" t="s">
        <v>16</v>
      </c>
      <c r="D166" t="s">
        <v>19</v>
      </c>
      <c r="E166" t="s">
        <v>28</v>
      </c>
      <c r="F166" t="s">
        <v>33</v>
      </c>
      <c r="G166" t="s">
        <v>38</v>
      </c>
      <c r="H166">
        <v>3</v>
      </c>
      <c r="I166">
        <v>2</v>
      </c>
      <c r="J166">
        <v>3</v>
      </c>
      <c r="K166">
        <v>2</v>
      </c>
      <c r="L166" t="s">
        <v>40</v>
      </c>
    </row>
    <row r="167" spans="1:12" x14ac:dyDescent="0.35">
      <c r="A167">
        <v>50</v>
      </c>
      <c r="B167" t="s">
        <v>12</v>
      </c>
      <c r="C167" t="s">
        <v>14</v>
      </c>
      <c r="D167" t="s">
        <v>18</v>
      </c>
      <c r="E167" t="s">
        <v>29</v>
      </c>
      <c r="F167" t="s">
        <v>33</v>
      </c>
      <c r="G167" t="s">
        <v>36</v>
      </c>
      <c r="H167">
        <v>3</v>
      </c>
      <c r="I167">
        <v>1</v>
      </c>
      <c r="J167">
        <v>4</v>
      </c>
      <c r="K167">
        <v>4</v>
      </c>
      <c r="L167" t="s">
        <v>39</v>
      </c>
    </row>
    <row r="168" spans="1:12" x14ac:dyDescent="0.35">
      <c r="A168">
        <v>55</v>
      </c>
      <c r="B168" t="s">
        <v>13</v>
      </c>
      <c r="C168" t="s">
        <v>14</v>
      </c>
      <c r="D168" t="s">
        <v>19</v>
      </c>
      <c r="E168" t="s">
        <v>22</v>
      </c>
      <c r="F168" t="s">
        <v>33</v>
      </c>
      <c r="G168" t="s">
        <v>38</v>
      </c>
      <c r="H168">
        <v>3</v>
      </c>
      <c r="I168">
        <v>5</v>
      </c>
      <c r="J168">
        <v>5</v>
      </c>
      <c r="K168">
        <v>5</v>
      </c>
      <c r="L168" t="s">
        <v>39</v>
      </c>
    </row>
    <row r="169" spans="1:12" x14ac:dyDescent="0.35">
      <c r="A169">
        <v>25</v>
      </c>
      <c r="B169" t="s">
        <v>13</v>
      </c>
      <c r="C169" t="s">
        <v>16</v>
      </c>
      <c r="D169" t="s">
        <v>20</v>
      </c>
      <c r="E169" t="s">
        <v>27</v>
      </c>
      <c r="F169" t="s">
        <v>33</v>
      </c>
      <c r="G169" t="s">
        <v>37</v>
      </c>
      <c r="H169">
        <v>4</v>
      </c>
      <c r="I169">
        <v>3</v>
      </c>
      <c r="J169">
        <v>1</v>
      </c>
      <c r="K169">
        <v>2</v>
      </c>
      <c r="L169" t="s">
        <v>39</v>
      </c>
    </row>
    <row r="170" spans="1:12" x14ac:dyDescent="0.35">
      <c r="A170">
        <v>55</v>
      </c>
      <c r="B170" t="s">
        <v>12</v>
      </c>
      <c r="C170" t="s">
        <v>15</v>
      </c>
      <c r="D170" t="s">
        <v>20</v>
      </c>
      <c r="E170" t="s">
        <v>25</v>
      </c>
      <c r="F170" t="s">
        <v>33</v>
      </c>
      <c r="G170" t="s">
        <v>38</v>
      </c>
      <c r="H170">
        <v>4</v>
      </c>
      <c r="I170">
        <v>2</v>
      </c>
      <c r="J170">
        <v>5</v>
      </c>
      <c r="K170">
        <v>4</v>
      </c>
      <c r="L170" t="s">
        <v>40</v>
      </c>
    </row>
    <row r="171" spans="1:12" x14ac:dyDescent="0.35">
      <c r="A171">
        <v>25</v>
      </c>
      <c r="B171" t="s">
        <v>12</v>
      </c>
      <c r="C171" t="s">
        <v>15</v>
      </c>
      <c r="D171" t="s">
        <v>20</v>
      </c>
      <c r="E171" t="s">
        <v>24</v>
      </c>
      <c r="F171" t="s">
        <v>33</v>
      </c>
      <c r="G171" t="s">
        <v>38</v>
      </c>
      <c r="H171">
        <v>5</v>
      </c>
      <c r="I171">
        <v>4</v>
      </c>
      <c r="J171">
        <v>1</v>
      </c>
      <c r="K171">
        <v>3</v>
      </c>
      <c r="L171" t="s">
        <v>39</v>
      </c>
    </row>
    <row r="172" spans="1:12" x14ac:dyDescent="0.35">
      <c r="A172">
        <v>25</v>
      </c>
      <c r="B172" t="s">
        <v>13</v>
      </c>
      <c r="C172" t="s">
        <v>17</v>
      </c>
      <c r="D172" t="s">
        <v>18</v>
      </c>
      <c r="E172" t="s">
        <v>29</v>
      </c>
      <c r="F172" t="s">
        <v>33</v>
      </c>
      <c r="G172" t="s">
        <v>38</v>
      </c>
      <c r="H172">
        <v>4</v>
      </c>
      <c r="I172">
        <v>2</v>
      </c>
      <c r="J172">
        <v>4</v>
      </c>
      <c r="K172">
        <v>2</v>
      </c>
      <c r="L172" t="s">
        <v>40</v>
      </c>
    </row>
    <row r="173" spans="1:12" x14ac:dyDescent="0.35">
      <c r="A173">
        <v>55</v>
      </c>
      <c r="B173" t="s">
        <v>13</v>
      </c>
      <c r="C173" t="s">
        <v>14</v>
      </c>
      <c r="D173" t="s">
        <v>18</v>
      </c>
      <c r="E173" t="s">
        <v>30</v>
      </c>
      <c r="F173" t="s">
        <v>33</v>
      </c>
      <c r="G173" t="s">
        <v>38</v>
      </c>
      <c r="H173">
        <v>5</v>
      </c>
      <c r="I173">
        <v>3</v>
      </c>
      <c r="J173">
        <v>5</v>
      </c>
      <c r="K173">
        <v>5</v>
      </c>
      <c r="L173" t="s">
        <v>40</v>
      </c>
    </row>
    <row r="174" spans="1:12" x14ac:dyDescent="0.35">
      <c r="A174">
        <v>30</v>
      </c>
      <c r="B174" t="s">
        <v>13</v>
      </c>
      <c r="C174" t="s">
        <v>14</v>
      </c>
      <c r="D174" t="s">
        <v>20</v>
      </c>
      <c r="E174" t="s">
        <v>28</v>
      </c>
      <c r="F174" t="s">
        <v>34</v>
      </c>
      <c r="G174" t="s">
        <v>38</v>
      </c>
      <c r="H174">
        <v>2</v>
      </c>
      <c r="I174">
        <v>3</v>
      </c>
      <c r="J174">
        <v>3</v>
      </c>
      <c r="K174">
        <v>2</v>
      </c>
      <c r="L174" t="s">
        <v>39</v>
      </c>
    </row>
    <row r="175" spans="1:12" x14ac:dyDescent="0.35">
      <c r="A175">
        <v>35</v>
      </c>
      <c r="B175" t="s">
        <v>13</v>
      </c>
      <c r="C175" t="s">
        <v>15</v>
      </c>
      <c r="D175" t="s">
        <v>20</v>
      </c>
      <c r="E175" t="s">
        <v>27</v>
      </c>
      <c r="F175" t="s">
        <v>34</v>
      </c>
      <c r="G175" t="s">
        <v>37</v>
      </c>
      <c r="H175">
        <v>2</v>
      </c>
      <c r="I175">
        <v>5</v>
      </c>
      <c r="J175">
        <v>1</v>
      </c>
      <c r="K175">
        <v>2</v>
      </c>
      <c r="L175" t="s">
        <v>39</v>
      </c>
    </row>
    <row r="176" spans="1:12" x14ac:dyDescent="0.35">
      <c r="A176">
        <v>18</v>
      </c>
      <c r="B176" t="s">
        <v>12</v>
      </c>
      <c r="C176" t="s">
        <v>17</v>
      </c>
      <c r="D176" t="s">
        <v>19</v>
      </c>
      <c r="E176" t="s">
        <v>22</v>
      </c>
      <c r="F176" t="s">
        <v>33</v>
      </c>
      <c r="G176" t="s">
        <v>37</v>
      </c>
      <c r="H176">
        <v>5</v>
      </c>
      <c r="I176">
        <v>3</v>
      </c>
      <c r="J176">
        <v>4</v>
      </c>
      <c r="K176">
        <v>3</v>
      </c>
      <c r="L176" t="s">
        <v>40</v>
      </c>
    </row>
    <row r="177" spans="1:12" x14ac:dyDescent="0.35">
      <c r="A177">
        <v>25</v>
      </c>
      <c r="B177" t="s">
        <v>13</v>
      </c>
      <c r="C177" t="s">
        <v>17</v>
      </c>
      <c r="D177" t="s">
        <v>20</v>
      </c>
      <c r="E177" t="s">
        <v>24</v>
      </c>
      <c r="F177" t="s">
        <v>35</v>
      </c>
      <c r="G177" t="s">
        <v>36</v>
      </c>
      <c r="H177">
        <v>2</v>
      </c>
      <c r="I177">
        <v>5</v>
      </c>
      <c r="J177">
        <v>2</v>
      </c>
      <c r="K177">
        <v>3</v>
      </c>
      <c r="L177" t="s">
        <v>39</v>
      </c>
    </row>
    <row r="178" spans="1:12" x14ac:dyDescent="0.35">
      <c r="A178">
        <v>35</v>
      </c>
      <c r="B178" t="s">
        <v>12</v>
      </c>
      <c r="C178" t="s">
        <v>17</v>
      </c>
      <c r="D178" t="s">
        <v>20</v>
      </c>
      <c r="E178" t="s">
        <v>22</v>
      </c>
      <c r="F178" t="s">
        <v>33</v>
      </c>
      <c r="G178" t="s">
        <v>37</v>
      </c>
      <c r="H178">
        <v>5</v>
      </c>
      <c r="I178">
        <v>1</v>
      </c>
      <c r="J178">
        <v>3</v>
      </c>
      <c r="K178">
        <v>3</v>
      </c>
      <c r="L178" t="s">
        <v>40</v>
      </c>
    </row>
    <row r="179" spans="1:12" x14ac:dyDescent="0.35">
      <c r="A179">
        <v>35</v>
      </c>
      <c r="B179" t="s">
        <v>13</v>
      </c>
      <c r="C179" t="s">
        <v>14</v>
      </c>
      <c r="D179" t="s">
        <v>20</v>
      </c>
      <c r="E179" t="s">
        <v>29</v>
      </c>
      <c r="F179" t="s">
        <v>33</v>
      </c>
      <c r="G179" t="s">
        <v>36</v>
      </c>
      <c r="H179">
        <v>2</v>
      </c>
      <c r="I179">
        <v>3</v>
      </c>
      <c r="J179">
        <v>3</v>
      </c>
      <c r="K179">
        <v>4</v>
      </c>
      <c r="L179" t="s">
        <v>39</v>
      </c>
    </row>
    <row r="180" spans="1:12" x14ac:dyDescent="0.35">
      <c r="A180">
        <v>35</v>
      </c>
      <c r="B180" t="s">
        <v>13</v>
      </c>
      <c r="C180" t="s">
        <v>17</v>
      </c>
      <c r="D180" t="s">
        <v>20</v>
      </c>
      <c r="E180" t="s">
        <v>31</v>
      </c>
      <c r="F180" t="s">
        <v>34</v>
      </c>
      <c r="G180" t="s">
        <v>38</v>
      </c>
      <c r="H180">
        <v>2</v>
      </c>
      <c r="I180">
        <v>5</v>
      </c>
      <c r="J180">
        <v>1</v>
      </c>
      <c r="K180">
        <v>2</v>
      </c>
      <c r="L180" t="s">
        <v>39</v>
      </c>
    </row>
    <row r="181" spans="1:12" x14ac:dyDescent="0.35">
      <c r="A181">
        <v>35</v>
      </c>
      <c r="B181" t="s">
        <v>12</v>
      </c>
      <c r="C181" t="s">
        <v>14</v>
      </c>
      <c r="D181" t="s">
        <v>20</v>
      </c>
      <c r="E181" t="s">
        <v>24</v>
      </c>
      <c r="F181" t="s">
        <v>33</v>
      </c>
      <c r="G181" t="s">
        <v>38</v>
      </c>
      <c r="H181">
        <v>4</v>
      </c>
      <c r="I181">
        <v>4</v>
      </c>
      <c r="J181">
        <v>3</v>
      </c>
      <c r="K181">
        <v>5</v>
      </c>
      <c r="L181" t="s">
        <v>39</v>
      </c>
    </row>
    <row r="182" spans="1:12" x14ac:dyDescent="0.35">
      <c r="A182">
        <v>35</v>
      </c>
      <c r="B182" t="s">
        <v>13</v>
      </c>
      <c r="C182" t="s">
        <v>14</v>
      </c>
      <c r="D182" t="s">
        <v>20</v>
      </c>
      <c r="E182" t="s">
        <v>23</v>
      </c>
      <c r="F182" t="s">
        <v>33</v>
      </c>
      <c r="G182" t="s">
        <v>37</v>
      </c>
      <c r="H182">
        <v>5</v>
      </c>
      <c r="I182">
        <v>2</v>
      </c>
      <c r="J182">
        <v>4</v>
      </c>
      <c r="K182">
        <v>3</v>
      </c>
      <c r="L182" t="s">
        <v>40</v>
      </c>
    </row>
    <row r="183" spans="1:12" x14ac:dyDescent="0.35">
      <c r="A183">
        <v>55</v>
      </c>
      <c r="B183" t="s">
        <v>13</v>
      </c>
      <c r="C183" t="s">
        <v>16</v>
      </c>
      <c r="D183" t="s">
        <v>20</v>
      </c>
      <c r="E183" t="s">
        <v>22</v>
      </c>
      <c r="F183" t="s">
        <v>33</v>
      </c>
      <c r="G183" t="s">
        <v>38</v>
      </c>
      <c r="H183">
        <v>4</v>
      </c>
      <c r="I183">
        <v>2</v>
      </c>
      <c r="J183">
        <v>5</v>
      </c>
      <c r="K183">
        <v>5</v>
      </c>
      <c r="L183" t="s">
        <v>40</v>
      </c>
    </row>
    <row r="184" spans="1:12" x14ac:dyDescent="0.35">
      <c r="A184">
        <v>50</v>
      </c>
      <c r="B184" t="s">
        <v>13</v>
      </c>
      <c r="C184" t="s">
        <v>14</v>
      </c>
      <c r="D184" t="s">
        <v>18</v>
      </c>
      <c r="E184" t="s">
        <v>31</v>
      </c>
      <c r="F184" t="s">
        <v>33</v>
      </c>
      <c r="G184" t="s">
        <v>38</v>
      </c>
      <c r="H184">
        <v>1</v>
      </c>
      <c r="I184">
        <v>3</v>
      </c>
      <c r="J184">
        <v>4</v>
      </c>
      <c r="K184">
        <v>4</v>
      </c>
      <c r="L184" t="s">
        <v>39</v>
      </c>
    </row>
    <row r="185" spans="1:12" x14ac:dyDescent="0.35">
      <c r="A185">
        <v>40</v>
      </c>
      <c r="B185" t="s">
        <v>12</v>
      </c>
      <c r="C185" t="s">
        <v>15</v>
      </c>
      <c r="D185" t="s">
        <v>19</v>
      </c>
      <c r="E185" t="s">
        <v>23</v>
      </c>
      <c r="F185" t="s">
        <v>34</v>
      </c>
      <c r="G185" t="s">
        <v>37</v>
      </c>
      <c r="H185">
        <v>2</v>
      </c>
      <c r="I185">
        <v>4</v>
      </c>
      <c r="J185">
        <v>2</v>
      </c>
      <c r="K185">
        <v>1</v>
      </c>
      <c r="L185" t="s">
        <v>39</v>
      </c>
    </row>
    <row r="186" spans="1:12" x14ac:dyDescent="0.35">
      <c r="A186">
        <v>22</v>
      </c>
      <c r="B186" t="s">
        <v>12</v>
      </c>
      <c r="C186" t="s">
        <v>16</v>
      </c>
      <c r="D186" t="s">
        <v>20</v>
      </c>
      <c r="E186" t="s">
        <v>22</v>
      </c>
      <c r="F186" t="s">
        <v>33</v>
      </c>
      <c r="G186" t="s">
        <v>38</v>
      </c>
      <c r="H186">
        <v>4</v>
      </c>
      <c r="I186">
        <v>2</v>
      </c>
      <c r="J186">
        <v>3</v>
      </c>
      <c r="K186">
        <v>4</v>
      </c>
      <c r="L186" t="s">
        <v>40</v>
      </c>
    </row>
    <row r="187" spans="1:12" x14ac:dyDescent="0.35">
      <c r="A187">
        <v>25</v>
      </c>
      <c r="B187" t="s">
        <v>13</v>
      </c>
      <c r="C187" t="s">
        <v>16</v>
      </c>
      <c r="D187" t="s">
        <v>18</v>
      </c>
      <c r="E187" t="s">
        <v>22</v>
      </c>
      <c r="F187" t="s">
        <v>33</v>
      </c>
      <c r="G187" t="s">
        <v>38</v>
      </c>
      <c r="H187">
        <v>4</v>
      </c>
      <c r="I187">
        <v>3</v>
      </c>
      <c r="J187">
        <v>1</v>
      </c>
      <c r="K187">
        <v>2</v>
      </c>
      <c r="L187" t="s">
        <v>39</v>
      </c>
    </row>
    <row r="188" spans="1:12" x14ac:dyDescent="0.35">
      <c r="A188">
        <v>50</v>
      </c>
      <c r="B188" t="s">
        <v>12</v>
      </c>
      <c r="C188" t="s">
        <v>14</v>
      </c>
      <c r="D188" t="s">
        <v>20</v>
      </c>
      <c r="E188" t="s">
        <v>30</v>
      </c>
      <c r="F188" t="s">
        <v>33</v>
      </c>
      <c r="G188" t="s">
        <v>38</v>
      </c>
      <c r="H188">
        <v>5</v>
      </c>
      <c r="I188">
        <v>1</v>
      </c>
      <c r="J188">
        <v>1</v>
      </c>
      <c r="K188">
        <v>4</v>
      </c>
      <c r="L188" t="s">
        <v>39</v>
      </c>
    </row>
    <row r="189" spans="1:12" x14ac:dyDescent="0.35">
      <c r="A189">
        <v>30</v>
      </c>
      <c r="B189" t="s">
        <v>12</v>
      </c>
      <c r="C189" t="s">
        <v>14</v>
      </c>
      <c r="D189" t="s">
        <v>20</v>
      </c>
      <c r="E189" t="s">
        <v>30</v>
      </c>
      <c r="F189" t="s">
        <v>33</v>
      </c>
      <c r="G189" t="s">
        <v>38</v>
      </c>
      <c r="H189">
        <v>5</v>
      </c>
      <c r="I189">
        <v>1</v>
      </c>
      <c r="J189">
        <v>3</v>
      </c>
      <c r="K189">
        <v>3</v>
      </c>
      <c r="L189" t="s">
        <v>40</v>
      </c>
    </row>
    <row r="190" spans="1:12" x14ac:dyDescent="0.35">
      <c r="A190">
        <v>55</v>
      </c>
      <c r="B190" t="s">
        <v>12</v>
      </c>
      <c r="C190" t="s">
        <v>15</v>
      </c>
      <c r="D190" t="s">
        <v>19</v>
      </c>
      <c r="E190" t="s">
        <v>26</v>
      </c>
      <c r="F190" t="s">
        <v>33</v>
      </c>
      <c r="G190" t="s">
        <v>37</v>
      </c>
      <c r="H190">
        <v>3</v>
      </c>
      <c r="I190">
        <v>2</v>
      </c>
      <c r="J190">
        <v>1</v>
      </c>
      <c r="K190">
        <v>4</v>
      </c>
      <c r="L190" t="s">
        <v>39</v>
      </c>
    </row>
    <row r="191" spans="1:12" x14ac:dyDescent="0.35">
      <c r="A191">
        <v>55</v>
      </c>
      <c r="B191" t="s">
        <v>13</v>
      </c>
      <c r="C191" t="s">
        <v>14</v>
      </c>
      <c r="D191" t="s">
        <v>19</v>
      </c>
      <c r="E191" t="s">
        <v>22</v>
      </c>
      <c r="F191" t="s">
        <v>33</v>
      </c>
      <c r="G191" t="s">
        <v>37</v>
      </c>
      <c r="H191">
        <v>5</v>
      </c>
      <c r="I191">
        <v>1</v>
      </c>
      <c r="J191">
        <v>4</v>
      </c>
      <c r="K191">
        <v>3</v>
      </c>
      <c r="L191" t="s">
        <v>40</v>
      </c>
    </row>
    <row r="192" spans="1:12" x14ac:dyDescent="0.35">
      <c r="A192">
        <v>25</v>
      </c>
      <c r="B192" t="s">
        <v>13</v>
      </c>
      <c r="C192" t="s">
        <v>17</v>
      </c>
      <c r="D192" t="s">
        <v>20</v>
      </c>
      <c r="E192" t="s">
        <v>32</v>
      </c>
      <c r="F192" t="s">
        <v>34</v>
      </c>
      <c r="G192" t="s">
        <v>38</v>
      </c>
      <c r="H192">
        <v>1</v>
      </c>
      <c r="I192">
        <v>4</v>
      </c>
      <c r="J192">
        <v>2</v>
      </c>
      <c r="K192">
        <v>4</v>
      </c>
      <c r="L192" t="s">
        <v>39</v>
      </c>
    </row>
    <row r="193" spans="1:12" x14ac:dyDescent="0.35">
      <c r="A193">
        <v>18</v>
      </c>
      <c r="B193" t="s">
        <v>13</v>
      </c>
      <c r="C193" t="s">
        <v>16</v>
      </c>
      <c r="D193" t="s">
        <v>18</v>
      </c>
      <c r="E193" t="s">
        <v>22</v>
      </c>
      <c r="F193" t="s">
        <v>33</v>
      </c>
      <c r="G193" t="s">
        <v>38</v>
      </c>
      <c r="H193">
        <v>5</v>
      </c>
      <c r="I193">
        <v>1</v>
      </c>
      <c r="J193">
        <v>1</v>
      </c>
      <c r="K193">
        <v>4</v>
      </c>
      <c r="L193" t="s">
        <v>39</v>
      </c>
    </row>
    <row r="194" spans="1:12" x14ac:dyDescent="0.35">
      <c r="A194">
        <v>25</v>
      </c>
      <c r="B194" t="s">
        <v>12</v>
      </c>
      <c r="C194" t="s">
        <v>14</v>
      </c>
      <c r="D194" t="s">
        <v>18</v>
      </c>
      <c r="E194" t="s">
        <v>26</v>
      </c>
      <c r="F194" t="s">
        <v>33</v>
      </c>
      <c r="G194" t="s">
        <v>37</v>
      </c>
      <c r="H194">
        <v>3</v>
      </c>
      <c r="I194">
        <v>3</v>
      </c>
      <c r="J194">
        <v>3</v>
      </c>
      <c r="K194">
        <v>3</v>
      </c>
      <c r="L194" t="s">
        <v>40</v>
      </c>
    </row>
    <row r="195" spans="1:12" x14ac:dyDescent="0.35">
      <c r="A195">
        <v>25</v>
      </c>
      <c r="B195" t="s">
        <v>13</v>
      </c>
      <c r="C195" t="s">
        <v>14</v>
      </c>
      <c r="D195" t="s">
        <v>19</v>
      </c>
      <c r="E195" t="s">
        <v>24</v>
      </c>
      <c r="F195" t="s">
        <v>33</v>
      </c>
      <c r="G195" t="s">
        <v>37</v>
      </c>
      <c r="H195">
        <v>4</v>
      </c>
      <c r="I195">
        <v>2</v>
      </c>
      <c r="J195">
        <v>5</v>
      </c>
      <c r="K195">
        <v>3</v>
      </c>
      <c r="L195" t="s">
        <v>40</v>
      </c>
    </row>
    <row r="196" spans="1:12" x14ac:dyDescent="0.35">
      <c r="A196">
        <v>40</v>
      </c>
      <c r="B196" t="s">
        <v>13</v>
      </c>
      <c r="C196" t="s">
        <v>14</v>
      </c>
      <c r="D196" t="s">
        <v>20</v>
      </c>
      <c r="E196" t="s">
        <v>24</v>
      </c>
      <c r="F196" t="s">
        <v>34</v>
      </c>
      <c r="G196" t="s">
        <v>38</v>
      </c>
      <c r="H196">
        <v>3</v>
      </c>
      <c r="I196">
        <v>4</v>
      </c>
      <c r="J196">
        <v>2</v>
      </c>
      <c r="K196">
        <v>4</v>
      </c>
      <c r="L196" t="s">
        <v>39</v>
      </c>
    </row>
    <row r="197" spans="1:12" x14ac:dyDescent="0.35">
      <c r="A197">
        <v>22</v>
      </c>
      <c r="B197" t="s">
        <v>13</v>
      </c>
      <c r="C197" t="s">
        <v>15</v>
      </c>
      <c r="D197" t="s">
        <v>19</v>
      </c>
      <c r="E197" t="s">
        <v>24</v>
      </c>
      <c r="F197" t="s">
        <v>33</v>
      </c>
      <c r="G197" t="s">
        <v>36</v>
      </c>
      <c r="H197">
        <v>4</v>
      </c>
      <c r="I197">
        <v>2</v>
      </c>
      <c r="J197">
        <v>5</v>
      </c>
      <c r="K197">
        <v>3</v>
      </c>
      <c r="L197" t="s">
        <v>39</v>
      </c>
    </row>
    <row r="198" spans="1:12" x14ac:dyDescent="0.35">
      <c r="A198">
        <v>22</v>
      </c>
      <c r="B198" t="s">
        <v>13</v>
      </c>
      <c r="C198" t="s">
        <v>14</v>
      </c>
      <c r="D198" t="s">
        <v>20</v>
      </c>
      <c r="E198" t="s">
        <v>22</v>
      </c>
      <c r="F198" t="s">
        <v>33</v>
      </c>
      <c r="G198" t="s">
        <v>38</v>
      </c>
      <c r="H198">
        <v>3</v>
      </c>
      <c r="I198">
        <v>3</v>
      </c>
      <c r="J198">
        <v>3</v>
      </c>
      <c r="K198">
        <v>4</v>
      </c>
      <c r="L198" t="s">
        <v>40</v>
      </c>
    </row>
    <row r="199" spans="1:12" x14ac:dyDescent="0.35">
      <c r="A199">
        <v>22</v>
      </c>
      <c r="B199" t="s">
        <v>12</v>
      </c>
      <c r="C199" t="s">
        <v>16</v>
      </c>
      <c r="D199" t="s">
        <v>18</v>
      </c>
      <c r="E199" t="s">
        <v>30</v>
      </c>
      <c r="F199" t="s">
        <v>33</v>
      </c>
      <c r="G199" t="s">
        <v>37</v>
      </c>
      <c r="H199">
        <v>4</v>
      </c>
      <c r="I199">
        <v>3</v>
      </c>
      <c r="J199">
        <v>2</v>
      </c>
      <c r="K199">
        <v>5</v>
      </c>
      <c r="L199" t="s">
        <v>39</v>
      </c>
    </row>
    <row r="200" spans="1:12" x14ac:dyDescent="0.35">
      <c r="A200">
        <v>40</v>
      </c>
      <c r="B200" t="s">
        <v>13</v>
      </c>
      <c r="C200" t="s">
        <v>15</v>
      </c>
      <c r="D200" t="s">
        <v>19</v>
      </c>
      <c r="E200" t="s">
        <v>24</v>
      </c>
      <c r="F200" t="s">
        <v>33</v>
      </c>
      <c r="G200" t="s">
        <v>38</v>
      </c>
      <c r="H200">
        <v>5</v>
      </c>
      <c r="I200">
        <v>2</v>
      </c>
      <c r="J200">
        <v>4</v>
      </c>
      <c r="K200">
        <v>2</v>
      </c>
      <c r="L200" t="s">
        <v>40</v>
      </c>
    </row>
    <row r="201" spans="1:12" x14ac:dyDescent="0.35">
      <c r="A201">
        <v>60</v>
      </c>
      <c r="B201" t="s">
        <v>12</v>
      </c>
      <c r="C201" t="s">
        <v>15</v>
      </c>
      <c r="D201" t="s">
        <v>19</v>
      </c>
      <c r="E201" t="s">
        <v>27</v>
      </c>
      <c r="F201" t="s">
        <v>33</v>
      </c>
      <c r="G201" t="s">
        <v>37</v>
      </c>
      <c r="H201">
        <v>2</v>
      </c>
      <c r="I201">
        <v>3</v>
      </c>
      <c r="J201">
        <v>4</v>
      </c>
      <c r="K201">
        <v>1</v>
      </c>
      <c r="L201" t="s">
        <v>39</v>
      </c>
    </row>
    <row r="202" spans="1:12" x14ac:dyDescent="0.35">
      <c r="A202">
        <v>22</v>
      </c>
      <c r="B202" t="s">
        <v>12</v>
      </c>
      <c r="C202" t="s">
        <v>14</v>
      </c>
      <c r="D202" t="s">
        <v>20</v>
      </c>
      <c r="E202" t="s">
        <v>22</v>
      </c>
      <c r="F202" t="s">
        <v>33</v>
      </c>
      <c r="G202" t="s">
        <v>38</v>
      </c>
      <c r="H202">
        <v>2</v>
      </c>
      <c r="I202">
        <v>4</v>
      </c>
      <c r="J202">
        <v>1</v>
      </c>
      <c r="K202">
        <v>4</v>
      </c>
      <c r="L202" t="s">
        <v>39</v>
      </c>
    </row>
    <row r="203" spans="1:12" x14ac:dyDescent="0.35">
      <c r="A203">
        <v>55</v>
      </c>
      <c r="B203" t="s">
        <v>12</v>
      </c>
      <c r="C203" t="s">
        <v>14</v>
      </c>
      <c r="D203" t="s">
        <v>18</v>
      </c>
      <c r="E203" t="s">
        <v>32</v>
      </c>
      <c r="F203" t="s">
        <v>35</v>
      </c>
      <c r="G203" t="s">
        <v>36</v>
      </c>
      <c r="H203">
        <v>3</v>
      </c>
      <c r="I203">
        <v>5</v>
      </c>
      <c r="J203">
        <v>3</v>
      </c>
      <c r="K203">
        <v>1</v>
      </c>
      <c r="L203" t="s">
        <v>39</v>
      </c>
    </row>
    <row r="204" spans="1:12" x14ac:dyDescent="0.35">
      <c r="A204">
        <v>25</v>
      </c>
      <c r="B204" t="s">
        <v>12</v>
      </c>
      <c r="C204" t="s">
        <v>15</v>
      </c>
      <c r="D204" t="s">
        <v>20</v>
      </c>
      <c r="E204" t="s">
        <v>32</v>
      </c>
      <c r="F204" t="s">
        <v>33</v>
      </c>
      <c r="G204" t="s">
        <v>37</v>
      </c>
      <c r="H204">
        <v>4</v>
      </c>
      <c r="I204">
        <v>5</v>
      </c>
      <c r="J204">
        <v>3</v>
      </c>
      <c r="K204">
        <v>5</v>
      </c>
      <c r="L204" t="s">
        <v>39</v>
      </c>
    </row>
    <row r="205" spans="1:12" x14ac:dyDescent="0.35">
      <c r="A205">
        <v>40</v>
      </c>
      <c r="B205" t="s">
        <v>12</v>
      </c>
      <c r="C205" t="s">
        <v>14</v>
      </c>
      <c r="D205" t="s">
        <v>19</v>
      </c>
      <c r="E205" t="s">
        <v>23</v>
      </c>
      <c r="F205" t="s">
        <v>33</v>
      </c>
      <c r="G205" t="s">
        <v>37</v>
      </c>
      <c r="H205">
        <v>3</v>
      </c>
      <c r="I205">
        <v>1</v>
      </c>
      <c r="J205">
        <v>4</v>
      </c>
      <c r="K205">
        <v>1</v>
      </c>
      <c r="L205" t="s">
        <v>40</v>
      </c>
    </row>
    <row r="206" spans="1:12" x14ac:dyDescent="0.35">
      <c r="A206">
        <v>22</v>
      </c>
      <c r="B206" t="s">
        <v>13</v>
      </c>
      <c r="C206" t="s">
        <v>14</v>
      </c>
      <c r="D206" t="s">
        <v>20</v>
      </c>
      <c r="E206" t="s">
        <v>23</v>
      </c>
      <c r="F206" t="s">
        <v>33</v>
      </c>
      <c r="G206" t="s">
        <v>37</v>
      </c>
      <c r="H206">
        <v>4</v>
      </c>
      <c r="I206">
        <v>2</v>
      </c>
      <c r="J206">
        <v>3</v>
      </c>
      <c r="K206">
        <v>3</v>
      </c>
      <c r="L206" t="s">
        <v>40</v>
      </c>
    </row>
    <row r="207" spans="1:12" x14ac:dyDescent="0.35">
      <c r="A207">
        <v>50</v>
      </c>
      <c r="B207" t="s">
        <v>13</v>
      </c>
      <c r="C207" t="s">
        <v>14</v>
      </c>
      <c r="D207" t="s">
        <v>20</v>
      </c>
      <c r="E207" t="s">
        <v>28</v>
      </c>
      <c r="F207" t="s">
        <v>34</v>
      </c>
      <c r="G207" t="s">
        <v>38</v>
      </c>
      <c r="H207">
        <v>1</v>
      </c>
      <c r="I207">
        <v>3</v>
      </c>
      <c r="J207">
        <v>3</v>
      </c>
      <c r="K207">
        <v>1</v>
      </c>
      <c r="L207" t="s">
        <v>39</v>
      </c>
    </row>
    <row r="208" spans="1:12" x14ac:dyDescent="0.35">
      <c r="A208">
        <v>30</v>
      </c>
      <c r="B208" t="s">
        <v>13</v>
      </c>
      <c r="C208" t="s">
        <v>14</v>
      </c>
      <c r="D208" t="s">
        <v>20</v>
      </c>
      <c r="E208" t="s">
        <v>31</v>
      </c>
      <c r="F208" t="s">
        <v>33</v>
      </c>
      <c r="G208" t="s">
        <v>37</v>
      </c>
      <c r="H208">
        <v>4</v>
      </c>
      <c r="I208">
        <v>2</v>
      </c>
      <c r="J208">
        <v>3</v>
      </c>
      <c r="K208">
        <v>1</v>
      </c>
      <c r="L208" t="s">
        <v>40</v>
      </c>
    </row>
    <row r="209" spans="1:12" x14ac:dyDescent="0.35">
      <c r="A209">
        <v>35</v>
      </c>
      <c r="B209" t="s">
        <v>13</v>
      </c>
      <c r="C209" t="s">
        <v>14</v>
      </c>
      <c r="D209" t="s">
        <v>19</v>
      </c>
      <c r="E209" t="s">
        <v>27</v>
      </c>
      <c r="F209" t="s">
        <v>33</v>
      </c>
      <c r="G209" t="s">
        <v>37</v>
      </c>
      <c r="H209">
        <v>4</v>
      </c>
      <c r="I209">
        <v>1</v>
      </c>
      <c r="J209">
        <v>1</v>
      </c>
      <c r="K209">
        <v>4</v>
      </c>
      <c r="L209" t="s">
        <v>39</v>
      </c>
    </row>
    <row r="210" spans="1:12" x14ac:dyDescent="0.35">
      <c r="A210">
        <v>25</v>
      </c>
      <c r="B210" t="s">
        <v>13</v>
      </c>
      <c r="C210" t="s">
        <v>16</v>
      </c>
      <c r="D210" t="s">
        <v>19</v>
      </c>
      <c r="E210" t="s">
        <v>25</v>
      </c>
      <c r="F210" t="s">
        <v>34</v>
      </c>
      <c r="G210" t="s">
        <v>37</v>
      </c>
      <c r="H210">
        <v>2</v>
      </c>
      <c r="I210">
        <v>5</v>
      </c>
      <c r="J210">
        <v>3</v>
      </c>
      <c r="K210">
        <v>1</v>
      </c>
      <c r="L210" t="s">
        <v>39</v>
      </c>
    </row>
    <row r="211" spans="1:12" x14ac:dyDescent="0.35">
      <c r="A211">
        <v>25</v>
      </c>
      <c r="B211" t="s">
        <v>13</v>
      </c>
      <c r="C211" t="s">
        <v>14</v>
      </c>
      <c r="D211" t="s">
        <v>20</v>
      </c>
      <c r="E211" t="s">
        <v>30</v>
      </c>
      <c r="F211" t="s">
        <v>33</v>
      </c>
      <c r="G211" t="s">
        <v>38</v>
      </c>
      <c r="H211">
        <v>5</v>
      </c>
      <c r="I211">
        <v>1</v>
      </c>
      <c r="J211">
        <v>5</v>
      </c>
      <c r="K211">
        <v>2</v>
      </c>
      <c r="L211" t="s">
        <v>40</v>
      </c>
    </row>
    <row r="212" spans="1:12" x14ac:dyDescent="0.35">
      <c r="A212">
        <v>25</v>
      </c>
      <c r="B212" t="s">
        <v>13</v>
      </c>
      <c r="C212" t="s">
        <v>16</v>
      </c>
      <c r="D212" t="s">
        <v>19</v>
      </c>
      <c r="E212" t="s">
        <v>24</v>
      </c>
      <c r="F212" t="s">
        <v>35</v>
      </c>
      <c r="G212" t="s">
        <v>36</v>
      </c>
      <c r="H212">
        <v>3</v>
      </c>
      <c r="I212">
        <v>3</v>
      </c>
      <c r="J212">
        <v>3</v>
      </c>
      <c r="K212">
        <v>5</v>
      </c>
      <c r="L212" t="s">
        <v>39</v>
      </c>
    </row>
    <row r="213" spans="1:12" x14ac:dyDescent="0.35">
      <c r="A213">
        <v>35</v>
      </c>
      <c r="B213" t="s">
        <v>12</v>
      </c>
      <c r="C213" t="s">
        <v>15</v>
      </c>
      <c r="D213" t="s">
        <v>19</v>
      </c>
      <c r="E213" t="s">
        <v>30</v>
      </c>
      <c r="F213" t="s">
        <v>33</v>
      </c>
      <c r="G213" t="s">
        <v>38</v>
      </c>
      <c r="H213">
        <v>4</v>
      </c>
      <c r="I213">
        <v>1</v>
      </c>
      <c r="J213">
        <v>2</v>
      </c>
      <c r="K213">
        <v>2</v>
      </c>
      <c r="L213" t="s">
        <v>39</v>
      </c>
    </row>
    <row r="214" spans="1:12" x14ac:dyDescent="0.35">
      <c r="A214">
        <v>18</v>
      </c>
      <c r="B214" t="s">
        <v>12</v>
      </c>
      <c r="C214" t="s">
        <v>17</v>
      </c>
      <c r="D214" t="s">
        <v>18</v>
      </c>
      <c r="E214" t="s">
        <v>23</v>
      </c>
      <c r="F214" t="s">
        <v>34</v>
      </c>
      <c r="G214" t="s">
        <v>37</v>
      </c>
      <c r="H214">
        <v>2</v>
      </c>
      <c r="I214">
        <v>4</v>
      </c>
      <c r="J214">
        <v>2</v>
      </c>
      <c r="K214">
        <v>4</v>
      </c>
      <c r="L214" t="s">
        <v>39</v>
      </c>
    </row>
    <row r="215" spans="1:12" x14ac:dyDescent="0.35">
      <c r="A215">
        <v>45</v>
      </c>
      <c r="B215" t="s">
        <v>12</v>
      </c>
      <c r="C215" t="s">
        <v>16</v>
      </c>
      <c r="D215" t="s">
        <v>19</v>
      </c>
      <c r="E215" t="s">
        <v>27</v>
      </c>
      <c r="F215" t="s">
        <v>33</v>
      </c>
      <c r="G215" t="s">
        <v>38</v>
      </c>
      <c r="H215">
        <v>3</v>
      </c>
      <c r="I215">
        <v>5</v>
      </c>
      <c r="J215">
        <v>3</v>
      </c>
      <c r="K215">
        <v>1</v>
      </c>
      <c r="L215" t="s">
        <v>39</v>
      </c>
    </row>
    <row r="216" spans="1:12" x14ac:dyDescent="0.35">
      <c r="A216">
        <v>25</v>
      </c>
      <c r="B216" t="s">
        <v>12</v>
      </c>
      <c r="C216" t="s">
        <v>14</v>
      </c>
      <c r="D216" t="s">
        <v>19</v>
      </c>
      <c r="E216" t="s">
        <v>26</v>
      </c>
      <c r="F216" t="s">
        <v>33</v>
      </c>
      <c r="G216" t="s">
        <v>37</v>
      </c>
      <c r="H216">
        <v>5</v>
      </c>
      <c r="I216">
        <v>2</v>
      </c>
      <c r="J216">
        <v>5</v>
      </c>
      <c r="K216">
        <v>3</v>
      </c>
      <c r="L216" t="s">
        <v>40</v>
      </c>
    </row>
    <row r="217" spans="1:12" x14ac:dyDescent="0.35">
      <c r="A217">
        <v>25</v>
      </c>
      <c r="B217" t="s">
        <v>13</v>
      </c>
      <c r="C217" t="s">
        <v>15</v>
      </c>
      <c r="D217" t="s">
        <v>19</v>
      </c>
      <c r="E217" t="s">
        <v>31</v>
      </c>
      <c r="F217" t="s">
        <v>34</v>
      </c>
      <c r="G217" t="s">
        <v>38</v>
      </c>
      <c r="H217">
        <v>2</v>
      </c>
      <c r="I217">
        <v>4</v>
      </c>
      <c r="J217">
        <v>3</v>
      </c>
      <c r="K217">
        <v>1</v>
      </c>
      <c r="L217" t="s">
        <v>39</v>
      </c>
    </row>
    <row r="218" spans="1:12" x14ac:dyDescent="0.35">
      <c r="A218">
        <v>25</v>
      </c>
      <c r="B218" t="s">
        <v>13</v>
      </c>
      <c r="C218" t="s">
        <v>17</v>
      </c>
      <c r="D218" t="s">
        <v>19</v>
      </c>
      <c r="E218" t="s">
        <v>30</v>
      </c>
      <c r="F218" t="s">
        <v>33</v>
      </c>
      <c r="G218" t="s">
        <v>38</v>
      </c>
      <c r="H218">
        <v>5</v>
      </c>
      <c r="I218">
        <v>4</v>
      </c>
      <c r="J218">
        <v>4</v>
      </c>
      <c r="K218">
        <v>3</v>
      </c>
      <c r="L218" t="s">
        <v>39</v>
      </c>
    </row>
    <row r="219" spans="1:12" x14ac:dyDescent="0.35">
      <c r="A219">
        <v>18</v>
      </c>
      <c r="B219" t="s">
        <v>13</v>
      </c>
      <c r="C219" t="s">
        <v>15</v>
      </c>
      <c r="D219" t="s">
        <v>20</v>
      </c>
      <c r="E219" t="s">
        <v>32</v>
      </c>
      <c r="F219" t="s">
        <v>33</v>
      </c>
      <c r="G219" t="s">
        <v>38</v>
      </c>
      <c r="H219">
        <v>5</v>
      </c>
      <c r="I219">
        <v>5</v>
      </c>
      <c r="J219">
        <v>4</v>
      </c>
      <c r="K219">
        <v>5</v>
      </c>
      <c r="L219" t="s">
        <v>39</v>
      </c>
    </row>
    <row r="220" spans="1:12" x14ac:dyDescent="0.35">
      <c r="A220">
        <v>45</v>
      </c>
      <c r="B220" t="s">
        <v>12</v>
      </c>
      <c r="C220" t="s">
        <v>15</v>
      </c>
      <c r="D220" t="s">
        <v>19</v>
      </c>
      <c r="E220" t="s">
        <v>22</v>
      </c>
      <c r="F220" t="s">
        <v>33</v>
      </c>
      <c r="G220" t="s">
        <v>38</v>
      </c>
      <c r="H220">
        <v>3</v>
      </c>
      <c r="I220">
        <v>2</v>
      </c>
      <c r="J220">
        <v>3</v>
      </c>
      <c r="K220">
        <v>4</v>
      </c>
      <c r="L220" t="s">
        <v>40</v>
      </c>
    </row>
    <row r="221" spans="1:12" x14ac:dyDescent="0.35">
      <c r="A221">
        <v>22</v>
      </c>
      <c r="B221" t="s">
        <v>12</v>
      </c>
      <c r="C221" t="s">
        <v>17</v>
      </c>
      <c r="D221" t="s">
        <v>18</v>
      </c>
      <c r="E221" t="s">
        <v>30</v>
      </c>
      <c r="F221" t="s">
        <v>33</v>
      </c>
      <c r="G221" t="s">
        <v>37</v>
      </c>
      <c r="H221">
        <v>4</v>
      </c>
      <c r="I221">
        <v>1</v>
      </c>
      <c r="J221">
        <v>5</v>
      </c>
      <c r="K221">
        <v>3</v>
      </c>
      <c r="L221" t="s">
        <v>40</v>
      </c>
    </row>
    <row r="222" spans="1:12" x14ac:dyDescent="0.35">
      <c r="A222">
        <v>35</v>
      </c>
      <c r="B222" t="s">
        <v>12</v>
      </c>
      <c r="C222" t="s">
        <v>14</v>
      </c>
      <c r="D222" t="s">
        <v>20</v>
      </c>
      <c r="E222" t="s">
        <v>21</v>
      </c>
      <c r="F222" t="s">
        <v>34</v>
      </c>
      <c r="G222" t="s">
        <v>38</v>
      </c>
      <c r="H222">
        <v>1</v>
      </c>
      <c r="I222">
        <v>3</v>
      </c>
      <c r="J222">
        <v>3</v>
      </c>
      <c r="K222">
        <v>3</v>
      </c>
      <c r="L222" t="s">
        <v>39</v>
      </c>
    </row>
    <row r="223" spans="1:12" x14ac:dyDescent="0.35">
      <c r="A223">
        <v>60</v>
      </c>
      <c r="B223" t="s">
        <v>13</v>
      </c>
      <c r="C223" t="s">
        <v>15</v>
      </c>
      <c r="D223" t="s">
        <v>19</v>
      </c>
      <c r="E223" t="s">
        <v>30</v>
      </c>
      <c r="F223" t="s">
        <v>33</v>
      </c>
      <c r="G223" t="s">
        <v>38</v>
      </c>
      <c r="H223">
        <v>5</v>
      </c>
      <c r="I223">
        <v>5</v>
      </c>
      <c r="J223">
        <v>3</v>
      </c>
      <c r="K223">
        <v>4</v>
      </c>
      <c r="L223" t="s">
        <v>39</v>
      </c>
    </row>
    <row r="224" spans="1:12" x14ac:dyDescent="0.35">
      <c r="A224">
        <v>25</v>
      </c>
      <c r="B224" t="s">
        <v>13</v>
      </c>
      <c r="C224" t="s">
        <v>16</v>
      </c>
      <c r="D224" t="s">
        <v>19</v>
      </c>
      <c r="E224" t="s">
        <v>30</v>
      </c>
      <c r="F224" t="s">
        <v>35</v>
      </c>
      <c r="G224" t="s">
        <v>38</v>
      </c>
      <c r="H224">
        <v>2</v>
      </c>
      <c r="I224">
        <v>4</v>
      </c>
      <c r="J224">
        <v>1</v>
      </c>
      <c r="K224">
        <v>5</v>
      </c>
      <c r="L224" t="s">
        <v>39</v>
      </c>
    </row>
    <row r="225" spans="1:12" x14ac:dyDescent="0.35">
      <c r="A225">
        <v>18</v>
      </c>
      <c r="B225" t="s">
        <v>12</v>
      </c>
      <c r="C225" t="s">
        <v>17</v>
      </c>
      <c r="D225" t="s">
        <v>20</v>
      </c>
      <c r="E225" t="s">
        <v>31</v>
      </c>
      <c r="F225" t="s">
        <v>33</v>
      </c>
      <c r="G225" t="s">
        <v>37</v>
      </c>
      <c r="H225">
        <v>5</v>
      </c>
      <c r="I225">
        <v>3</v>
      </c>
      <c r="J225">
        <v>4</v>
      </c>
      <c r="K225">
        <v>1</v>
      </c>
      <c r="L225" t="s">
        <v>40</v>
      </c>
    </row>
    <row r="226" spans="1:12" x14ac:dyDescent="0.35">
      <c r="A226">
        <v>40</v>
      </c>
      <c r="B226" t="s">
        <v>13</v>
      </c>
      <c r="C226" t="s">
        <v>17</v>
      </c>
      <c r="D226" t="s">
        <v>20</v>
      </c>
      <c r="E226" t="s">
        <v>24</v>
      </c>
      <c r="F226" t="s">
        <v>33</v>
      </c>
      <c r="G226" t="s">
        <v>37</v>
      </c>
      <c r="H226">
        <v>5</v>
      </c>
      <c r="I226">
        <v>1</v>
      </c>
      <c r="J226">
        <v>3</v>
      </c>
      <c r="K226">
        <v>4</v>
      </c>
      <c r="L226" t="s">
        <v>40</v>
      </c>
    </row>
    <row r="227" spans="1:12" x14ac:dyDescent="0.35">
      <c r="A227">
        <v>50</v>
      </c>
      <c r="B227" t="s">
        <v>13</v>
      </c>
      <c r="C227" t="s">
        <v>14</v>
      </c>
      <c r="D227" t="s">
        <v>18</v>
      </c>
      <c r="E227" t="s">
        <v>32</v>
      </c>
      <c r="F227" t="s">
        <v>35</v>
      </c>
      <c r="G227" t="s">
        <v>36</v>
      </c>
      <c r="H227">
        <v>3</v>
      </c>
      <c r="I227">
        <v>1</v>
      </c>
      <c r="J227">
        <v>3</v>
      </c>
      <c r="K227">
        <v>5</v>
      </c>
      <c r="L227" t="s">
        <v>39</v>
      </c>
    </row>
    <row r="228" spans="1:12" x14ac:dyDescent="0.35">
      <c r="A228">
        <v>25</v>
      </c>
      <c r="B228" t="s">
        <v>13</v>
      </c>
      <c r="C228" t="s">
        <v>16</v>
      </c>
      <c r="D228" t="s">
        <v>19</v>
      </c>
      <c r="E228" t="s">
        <v>32</v>
      </c>
      <c r="F228" t="s">
        <v>33</v>
      </c>
      <c r="G228" t="s">
        <v>38</v>
      </c>
      <c r="H228">
        <v>3</v>
      </c>
      <c r="I228">
        <v>2</v>
      </c>
      <c r="J228">
        <v>1</v>
      </c>
      <c r="K228">
        <v>3</v>
      </c>
      <c r="L228" t="s">
        <v>39</v>
      </c>
    </row>
    <row r="229" spans="1:12" x14ac:dyDescent="0.35">
      <c r="A229">
        <v>30</v>
      </c>
      <c r="B229" t="s">
        <v>12</v>
      </c>
      <c r="C229" t="s">
        <v>14</v>
      </c>
      <c r="D229" t="s">
        <v>19</v>
      </c>
      <c r="E229" t="s">
        <v>22</v>
      </c>
      <c r="F229" t="s">
        <v>33</v>
      </c>
      <c r="G229" t="s">
        <v>37</v>
      </c>
      <c r="H229">
        <v>4</v>
      </c>
      <c r="I229">
        <v>1</v>
      </c>
      <c r="J229">
        <v>4</v>
      </c>
      <c r="K229">
        <v>4</v>
      </c>
      <c r="L229" t="s">
        <v>40</v>
      </c>
    </row>
    <row r="230" spans="1:12" x14ac:dyDescent="0.35">
      <c r="A230">
        <v>30</v>
      </c>
      <c r="B230" t="s">
        <v>12</v>
      </c>
      <c r="C230" t="s">
        <v>14</v>
      </c>
      <c r="D230" t="s">
        <v>19</v>
      </c>
      <c r="E230" t="s">
        <v>21</v>
      </c>
      <c r="F230" t="s">
        <v>33</v>
      </c>
      <c r="G230" t="s">
        <v>38</v>
      </c>
      <c r="H230">
        <v>5</v>
      </c>
      <c r="I230">
        <v>1</v>
      </c>
      <c r="J230">
        <v>4</v>
      </c>
      <c r="K230">
        <v>1</v>
      </c>
      <c r="L230" t="s">
        <v>40</v>
      </c>
    </row>
    <row r="231" spans="1:12" x14ac:dyDescent="0.35">
      <c r="A231">
        <v>50</v>
      </c>
      <c r="B231" t="s">
        <v>13</v>
      </c>
      <c r="C231" t="s">
        <v>15</v>
      </c>
      <c r="D231" t="s">
        <v>18</v>
      </c>
      <c r="E231" t="s">
        <v>32</v>
      </c>
      <c r="F231" t="s">
        <v>34</v>
      </c>
      <c r="G231" t="s">
        <v>37</v>
      </c>
      <c r="H231">
        <v>1</v>
      </c>
      <c r="I231">
        <v>3</v>
      </c>
      <c r="J231">
        <v>1</v>
      </c>
      <c r="K231">
        <v>4</v>
      </c>
      <c r="L231" t="s">
        <v>39</v>
      </c>
    </row>
    <row r="232" spans="1:12" x14ac:dyDescent="0.35">
      <c r="A232">
        <v>40</v>
      </c>
      <c r="B232" t="s">
        <v>13</v>
      </c>
      <c r="C232" t="s">
        <v>15</v>
      </c>
      <c r="D232" t="s">
        <v>19</v>
      </c>
      <c r="E232" t="s">
        <v>32</v>
      </c>
      <c r="F232" t="s">
        <v>33</v>
      </c>
      <c r="G232" t="s">
        <v>38</v>
      </c>
      <c r="H232">
        <v>2</v>
      </c>
      <c r="I232">
        <v>3</v>
      </c>
      <c r="J232">
        <v>2</v>
      </c>
      <c r="K232">
        <v>5</v>
      </c>
      <c r="L232" t="s">
        <v>39</v>
      </c>
    </row>
    <row r="233" spans="1:12" x14ac:dyDescent="0.35">
      <c r="A233">
        <v>22</v>
      </c>
      <c r="B233" t="s">
        <v>13</v>
      </c>
      <c r="C233" t="s">
        <v>16</v>
      </c>
      <c r="D233" t="s">
        <v>19</v>
      </c>
      <c r="E233" t="s">
        <v>26</v>
      </c>
      <c r="F233" t="s">
        <v>33</v>
      </c>
      <c r="G233" t="s">
        <v>37</v>
      </c>
      <c r="H233">
        <v>4</v>
      </c>
      <c r="I233">
        <v>4</v>
      </c>
      <c r="J233">
        <v>1</v>
      </c>
      <c r="K233">
        <v>3</v>
      </c>
      <c r="L233" t="s">
        <v>39</v>
      </c>
    </row>
    <row r="234" spans="1:12" x14ac:dyDescent="0.35">
      <c r="A234">
        <v>35</v>
      </c>
      <c r="B234" t="s">
        <v>12</v>
      </c>
      <c r="C234" t="s">
        <v>14</v>
      </c>
      <c r="D234" t="s">
        <v>19</v>
      </c>
      <c r="E234" t="s">
        <v>28</v>
      </c>
      <c r="F234" t="s">
        <v>33</v>
      </c>
      <c r="G234" t="s">
        <v>36</v>
      </c>
      <c r="H234">
        <v>2</v>
      </c>
      <c r="I234">
        <v>4</v>
      </c>
      <c r="J234">
        <v>2</v>
      </c>
      <c r="K234">
        <v>4</v>
      </c>
      <c r="L234" t="s">
        <v>39</v>
      </c>
    </row>
    <row r="235" spans="1:12" x14ac:dyDescent="0.35">
      <c r="A235">
        <v>22</v>
      </c>
      <c r="B235" t="s">
        <v>12</v>
      </c>
      <c r="C235" t="s">
        <v>17</v>
      </c>
      <c r="D235" t="s">
        <v>18</v>
      </c>
      <c r="E235" t="s">
        <v>24</v>
      </c>
      <c r="F235" t="s">
        <v>33</v>
      </c>
      <c r="G235" t="s">
        <v>38</v>
      </c>
      <c r="H235">
        <v>5</v>
      </c>
      <c r="I235">
        <v>5</v>
      </c>
      <c r="J235">
        <v>4</v>
      </c>
      <c r="K235">
        <v>2</v>
      </c>
      <c r="L235" t="s">
        <v>39</v>
      </c>
    </row>
    <row r="236" spans="1:12" x14ac:dyDescent="0.35">
      <c r="A236">
        <v>22</v>
      </c>
      <c r="B236" t="s">
        <v>12</v>
      </c>
      <c r="C236" t="s">
        <v>17</v>
      </c>
      <c r="D236" t="s">
        <v>18</v>
      </c>
      <c r="E236" t="s">
        <v>30</v>
      </c>
      <c r="F236" t="s">
        <v>34</v>
      </c>
      <c r="G236" t="s">
        <v>37</v>
      </c>
      <c r="H236">
        <v>1</v>
      </c>
      <c r="I236">
        <v>3</v>
      </c>
      <c r="J236">
        <v>1</v>
      </c>
      <c r="K236">
        <v>5</v>
      </c>
      <c r="L236" t="s">
        <v>39</v>
      </c>
    </row>
    <row r="237" spans="1:12" x14ac:dyDescent="0.35">
      <c r="A237">
        <v>25</v>
      </c>
      <c r="B237" t="s">
        <v>13</v>
      </c>
      <c r="C237" t="s">
        <v>15</v>
      </c>
      <c r="D237" t="s">
        <v>19</v>
      </c>
      <c r="E237" t="s">
        <v>32</v>
      </c>
      <c r="F237" t="s">
        <v>34</v>
      </c>
      <c r="G237" t="s">
        <v>37</v>
      </c>
      <c r="H237">
        <v>3</v>
      </c>
      <c r="I237">
        <v>2</v>
      </c>
      <c r="J237">
        <v>2</v>
      </c>
      <c r="K237">
        <v>4</v>
      </c>
      <c r="L237" t="s">
        <v>39</v>
      </c>
    </row>
    <row r="238" spans="1:12" x14ac:dyDescent="0.35">
      <c r="A238">
        <v>45</v>
      </c>
      <c r="B238" t="s">
        <v>12</v>
      </c>
      <c r="C238" t="s">
        <v>14</v>
      </c>
      <c r="D238" t="s">
        <v>20</v>
      </c>
      <c r="E238" t="s">
        <v>23</v>
      </c>
      <c r="F238" t="s">
        <v>33</v>
      </c>
      <c r="G238" t="s">
        <v>38</v>
      </c>
      <c r="H238">
        <v>5</v>
      </c>
      <c r="I238">
        <v>2</v>
      </c>
      <c r="J238">
        <v>1</v>
      </c>
      <c r="K238">
        <v>4</v>
      </c>
      <c r="L238" t="s">
        <v>39</v>
      </c>
    </row>
    <row r="239" spans="1:12" x14ac:dyDescent="0.35">
      <c r="A239">
        <v>50</v>
      </c>
      <c r="B239" t="s">
        <v>12</v>
      </c>
      <c r="C239" t="s">
        <v>14</v>
      </c>
      <c r="D239" t="s">
        <v>19</v>
      </c>
      <c r="E239" t="s">
        <v>21</v>
      </c>
      <c r="F239" t="s">
        <v>33</v>
      </c>
      <c r="G239" t="s">
        <v>37</v>
      </c>
      <c r="H239">
        <v>3</v>
      </c>
      <c r="I239">
        <v>3</v>
      </c>
      <c r="J239">
        <v>5</v>
      </c>
      <c r="K239">
        <v>1</v>
      </c>
      <c r="L239" t="s">
        <v>40</v>
      </c>
    </row>
    <row r="240" spans="1:12" x14ac:dyDescent="0.35">
      <c r="A240">
        <v>22</v>
      </c>
      <c r="B240" t="s">
        <v>12</v>
      </c>
      <c r="C240" t="s">
        <v>14</v>
      </c>
      <c r="D240" t="s">
        <v>18</v>
      </c>
      <c r="E240" t="s">
        <v>30</v>
      </c>
      <c r="F240" t="s">
        <v>33</v>
      </c>
      <c r="G240" t="s">
        <v>37</v>
      </c>
      <c r="H240">
        <v>3</v>
      </c>
      <c r="I240">
        <v>1</v>
      </c>
      <c r="J240">
        <v>1</v>
      </c>
      <c r="K240">
        <v>4</v>
      </c>
      <c r="L240" t="s">
        <v>39</v>
      </c>
    </row>
    <row r="241" spans="1:12" x14ac:dyDescent="0.35">
      <c r="A241">
        <v>30</v>
      </c>
      <c r="B241" t="s">
        <v>13</v>
      </c>
      <c r="C241" t="s">
        <v>17</v>
      </c>
      <c r="D241" t="s">
        <v>19</v>
      </c>
      <c r="E241" t="s">
        <v>24</v>
      </c>
      <c r="F241" t="s">
        <v>33</v>
      </c>
      <c r="G241" t="s">
        <v>37</v>
      </c>
      <c r="H241">
        <v>5</v>
      </c>
      <c r="I241">
        <v>3</v>
      </c>
      <c r="J241">
        <v>2</v>
      </c>
      <c r="K241">
        <v>4</v>
      </c>
      <c r="L241" t="s">
        <v>39</v>
      </c>
    </row>
    <row r="242" spans="1:12" x14ac:dyDescent="0.35">
      <c r="A242">
        <v>22</v>
      </c>
      <c r="B242" t="s">
        <v>12</v>
      </c>
      <c r="C242" t="s">
        <v>14</v>
      </c>
      <c r="D242" t="s">
        <v>19</v>
      </c>
      <c r="E242" t="s">
        <v>25</v>
      </c>
      <c r="F242" t="s">
        <v>33</v>
      </c>
      <c r="G242" t="s">
        <v>37</v>
      </c>
      <c r="H242">
        <v>4</v>
      </c>
      <c r="I242">
        <v>4</v>
      </c>
      <c r="J242">
        <v>3</v>
      </c>
      <c r="K242">
        <v>3</v>
      </c>
      <c r="L242" t="s">
        <v>39</v>
      </c>
    </row>
    <row r="243" spans="1:12" x14ac:dyDescent="0.35">
      <c r="A243">
        <v>18</v>
      </c>
      <c r="B243" t="s">
        <v>13</v>
      </c>
      <c r="C243" t="s">
        <v>15</v>
      </c>
      <c r="D243" t="s">
        <v>20</v>
      </c>
      <c r="E243" t="s">
        <v>22</v>
      </c>
      <c r="F243" t="s">
        <v>33</v>
      </c>
      <c r="G243" t="s">
        <v>38</v>
      </c>
      <c r="H243">
        <v>2</v>
      </c>
      <c r="I243">
        <v>5</v>
      </c>
      <c r="J243">
        <v>1</v>
      </c>
      <c r="K243">
        <v>5</v>
      </c>
      <c r="L243" t="s">
        <v>39</v>
      </c>
    </row>
    <row r="244" spans="1:12" x14ac:dyDescent="0.35">
      <c r="A244">
        <v>30</v>
      </c>
      <c r="B244" t="s">
        <v>12</v>
      </c>
      <c r="C244" t="s">
        <v>14</v>
      </c>
      <c r="D244" t="s">
        <v>20</v>
      </c>
      <c r="E244" t="s">
        <v>24</v>
      </c>
      <c r="F244" t="s">
        <v>33</v>
      </c>
      <c r="G244" t="s">
        <v>37</v>
      </c>
      <c r="H244">
        <v>3</v>
      </c>
      <c r="I244">
        <v>3</v>
      </c>
      <c r="J244">
        <v>4</v>
      </c>
      <c r="K244">
        <v>3</v>
      </c>
      <c r="L244" t="s">
        <v>40</v>
      </c>
    </row>
    <row r="245" spans="1:12" x14ac:dyDescent="0.35">
      <c r="A245">
        <v>25</v>
      </c>
      <c r="B245" t="s">
        <v>13</v>
      </c>
      <c r="C245" t="s">
        <v>15</v>
      </c>
      <c r="D245" t="s">
        <v>18</v>
      </c>
      <c r="E245" t="s">
        <v>27</v>
      </c>
      <c r="F245" t="s">
        <v>33</v>
      </c>
      <c r="G245" t="s">
        <v>37</v>
      </c>
      <c r="H245">
        <v>4</v>
      </c>
      <c r="I245">
        <v>2</v>
      </c>
      <c r="J245">
        <v>1</v>
      </c>
      <c r="K245">
        <v>4</v>
      </c>
      <c r="L245" t="s">
        <v>39</v>
      </c>
    </row>
    <row r="246" spans="1:12" x14ac:dyDescent="0.35">
      <c r="A246">
        <v>25</v>
      </c>
      <c r="B246" t="s">
        <v>13</v>
      </c>
      <c r="C246" t="s">
        <v>17</v>
      </c>
      <c r="D246" t="s">
        <v>19</v>
      </c>
      <c r="E246" t="s">
        <v>30</v>
      </c>
      <c r="F246" t="s">
        <v>33</v>
      </c>
      <c r="G246" t="s">
        <v>38</v>
      </c>
      <c r="H246">
        <v>5</v>
      </c>
      <c r="I246">
        <v>2</v>
      </c>
      <c r="J246">
        <v>5</v>
      </c>
      <c r="K246">
        <v>3</v>
      </c>
      <c r="L246" t="s">
        <v>40</v>
      </c>
    </row>
    <row r="247" spans="1:12" x14ac:dyDescent="0.35">
      <c r="A247">
        <v>35</v>
      </c>
      <c r="B247" t="s">
        <v>13</v>
      </c>
      <c r="C247" t="s">
        <v>16</v>
      </c>
      <c r="D247" t="s">
        <v>19</v>
      </c>
      <c r="E247" t="s">
        <v>22</v>
      </c>
      <c r="F247" t="s">
        <v>33</v>
      </c>
      <c r="G247" t="s">
        <v>38</v>
      </c>
      <c r="H247">
        <v>3</v>
      </c>
      <c r="I247">
        <v>1</v>
      </c>
      <c r="J247">
        <v>4</v>
      </c>
      <c r="K247">
        <v>2</v>
      </c>
      <c r="L247" t="s">
        <v>40</v>
      </c>
    </row>
    <row r="248" spans="1:12" x14ac:dyDescent="0.35">
      <c r="A248">
        <v>50</v>
      </c>
      <c r="B248" t="s">
        <v>13</v>
      </c>
      <c r="C248" t="s">
        <v>16</v>
      </c>
      <c r="D248" t="s">
        <v>19</v>
      </c>
      <c r="E248" t="s">
        <v>22</v>
      </c>
      <c r="F248" t="s">
        <v>33</v>
      </c>
      <c r="G248" t="s">
        <v>38</v>
      </c>
      <c r="H248">
        <v>2</v>
      </c>
      <c r="I248">
        <v>4</v>
      </c>
      <c r="J248">
        <v>4</v>
      </c>
      <c r="K248">
        <v>2</v>
      </c>
      <c r="L248" t="s">
        <v>39</v>
      </c>
    </row>
    <row r="249" spans="1:12" x14ac:dyDescent="0.35">
      <c r="A249">
        <v>60</v>
      </c>
      <c r="B249" t="s">
        <v>12</v>
      </c>
      <c r="C249" t="s">
        <v>16</v>
      </c>
      <c r="D249" t="s">
        <v>19</v>
      </c>
      <c r="E249" t="s">
        <v>30</v>
      </c>
      <c r="F249" t="s">
        <v>33</v>
      </c>
      <c r="G249" t="s">
        <v>37</v>
      </c>
      <c r="H249">
        <v>5</v>
      </c>
      <c r="I249">
        <v>3</v>
      </c>
      <c r="J249">
        <v>3</v>
      </c>
      <c r="K249">
        <v>5</v>
      </c>
      <c r="L249" t="s">
        <v>40</v>
      </c>
    </row>
    <row r="250" spans="1:12" x14ac:dyDescent="0.35">
      <c r="A250">
        <v>22</v>
      </c>
      <c r="B250" t="s">
        <v>13</v>
      </c>
      <c r="C250" t="s">
        <v>14</v>
      </c>
      <c r="D250" t="s">
        <v>18</v>
      </c>
      <c r="E250" t="s">
        <v>23</v>
      </c>
      <c r="F250" t="s">
        <v>34</v>
      </c>
      <c r="G250" t="s">
        <v>37</v>
      </c>
      <c r="H250">
        <v>2</v>
      </c>
      <c r="I250">
        <v>4</v>
      </c>
      <c r="J250">
        <v>1</v>
      </c>
      <c r="K250">
        <v>2</v>
      </c>
      <c r="L250" t="s">
        <v>39</v>
      </c>
    </row>
    <row r="251" spans="1:12" x14ac:dyDescent="0.35">
      <c r="A251">
        <v>22</v>
      </c>
      <c r="B251" t="s">
        <v>12</v>
      </c>
      <c r="C251" t="s">
        <v>14</v>
      </c>
      <c r="D251" t="s">
        <v>18</v>
      </c>
      <c r="E251" t="s">
        <v>29</v>
      </c>
      <c r="F251" t="s">
        <v>34</v>
      </c>
      <c r="G251" t="s">
        <v>37</v>
      </c>
      <c r="H251">
        <v>2</v>
      </c>
      <c r="I251">
        <v>4</v>
      </c>
      <c r="J251">
        <v>2</v>
      </c>
      <c r="K251">
        <v>1</v>
      </c>
      <c r="L251" t="s">
        <v>39</v>
      </c>
    </row>
    <row r="252" spans="1:12" x14ac:dyDescent="0.35">
      <c r="A252">
        <v>30</v>
      </c>
      <c r="B252" t="s">
        <v>13</v>
      </c>
      <c r="C252" t="s">
        <v>14</v>
      </c>
      <c r="D252" t="s">
        <v>18</v>
      </c>
      <c r="E252" t="s">
        <v>30</v>
      </c>
      <c r="F252" t="s">
        <v>34</v>
      </c>
      <c r="G252" t="s">
        <v>38</v>
      </c>
      <c r="H252">
        <v>1</v>
      </c>
      <c r="I252">
        <v>5</v>
      </c>
      <c r="J252">
        <v>2</v>
      </c>
      <c r="K252">
        <v>5</v>
      </c>
      <c r="L252" t="s">
        <v>39</v>
      </c>
    </row>
    <row r="253" spans="1:12" x14ac:dyDescent="0.35">
      <c r="A253">
        <v>35</v>
      </c>
      <c r="B253" t="s">
        <v>13</v>
      </c>
      <c r="C253" t="s">
        <v>14</v>
      </c>
      <c r="D253" t="s">
        <v>20</v>
      </c>
      <c r="E253" t="s">
        <v>26</v>
      </c>
      <c r="F253" t="s">
        <v>35</v>
      </c>
      <c r="G253" t="s">
        <v>37</v>
      </c>
      <c r="H253">
        <v>1</v>
      </c>
      <c r="I253">
        <v>4</v>
      </c>
      <c r="J253">
        <v>2</v>
      </c>
      <c r="K253">
        <v>4</v>
      </c>
      <c r="L253" t="s">
        <v>39</v>
      </c>
    </row>
    <row r="254" spans="1:12" x14ac:dyDescent="0.35">
      <c r="A254">
        <v>18</v>
      </c>
      <c r="B254" t="s">
        <v>13</v>
      </c>
      <c r="C254" t="s">
        <v>16</v>
      </c>
      <c r="D254" t="s">
        <v>20</v>
      </c>
      <c r="E254" t="s">
        <v>25</v>
      </c>
      <c r="F254" t="s">
        <v>34</v>
      </c>
      <c r="G254" t="s">
        <v>37</v>
      </c>
      <c r="H254">
        <v>3</v>
      </c>
      <c r="I254">
        <v>5</v>
      </c>
      <c r="J254">
        <v>2</v>
      </c>
      <c r="K254">
        <v>4</v>
      </c>
      <c r="L254" t="s">
        <v>39</v>
      </c>
    </row>
    <row r="255" spans="1:12" x14ac:dyDescent="0.35">
      <c r="A255">
        <v>25</v>
      </c>
      <c r="B255" t="s">
        <v>13</v>
      </c>
      <c r="C255" t="s">
        <v>17</v>
      </c>
      <c r="D255" t="s">
        <v>19</v>
      </c>
      <c r="E255" t="s">
        <v>22</v>
      </c>
      <c r="F255" t="s">
        <v>33</v>
      </c>
      <c r="G255" t="s">
        <v>37</v>
      </c>
      <c r="H255">
        <v>5</v>
      </c>
      <c r="I255">
        <v>3</v>
      </c>
      <c r="J255">
        <v>4</v>
      </c>
      <c r="K255">
        <v>1</v>
      </c>
      <c r="L255" t="s">
        <v>40</v>
      </c>
    </row>
    <row r="256" spans="1:12" x14ac:dyDescent="0.35">
      <c r="A256">
        <v>22</v>
      </c>
      <c r="B256" t="s">
        <v>13</v>
      </c>
      <c r="C256" t="s">
        <v>15</v>
      </c>
      <c r="D256" t="s">
        <v>18</v>
      </c>
      <c r="E256" t="s">
        <v>27</v>
      </c>
      <c r="F256" t="s">
        <v>34</v>
      </c>
      <c r="G256" t="s">
        <v>38</v>
      </c>
      <c r="H256">
        <v>1</v>
      </c>
      <c r="I256">
        <v>5</v>
      </c>
      <c r="J256">
        <v>2</v>
      </c>
      <c r="K256">
        <v>2</v>
      </c>
      <c r="L256" t="s">
        <v>39</v>
      </c>
    </row>
    <row r="257" spans="1:12" x14ac:dyDescent="0.35">
      <c r="A257">
        <v>35</v>
      </c>
      <c r="B257" t="s">
        <v>13</v>
      </c>
      <c r="C257" t="s">
        <v>17</v>
      </c>
      <c r="D257" t="s">
        <v>19</v>
      </c>
      <c r="E257" t="s">
        <v>30</v>
      </c>
      <c r="F257" t="s">
        <v>33</v>
      </c>
      <c r="G257" t="s">
        <v>37</v>
      </c>
      <c r="H257">
        <v>1</v>
      </c>
      <c r="I257">
        <v>4</v>
      </c>
      <c r="J257">
        <v>3</v>
      </c>
      <c r="K257">
        <v>3</v>
      </c>
      <c r="L257" t="s">
        <v>39</v>
      </c>
    </row>
    <row r="258" spans="1:12" x14ac:dyDescent="0.35">
      <c r="A258">
        <v>35</v>
      </c>
      <c r="B258" t="s">
        <v>12</v>
      </c>
      <c r="C258" t="s">
        <v>14</v>
      </c>
      <c r="D258" t="s">
        <v>20</v>
      </c>
      <c r="E258" t="s">
        <v>32</v>
      </c>
      <c r="F258" t="s">
        <v>34</v>
      </c>
      <c r="G258" t="s">
        <v>37</v>
      </c>
      <c r="H258">
        <v>3</v>
      </c>
      <c r="I258">
        <v>3</v>
      </c>
      <c r="J258">
        <v>2</v>
      </c>
      <c r="K258">
        <v>5</v>
      </c>
      <c r="L258" t="s">
        <v>39</v>
      </c>
    </row>
    <row r="259" spans="1:12" x14ac:dyDescent="0.35">
      <c r="A259">
        <v>25</v>
      </c>
      <c r="B259" t="s">
        <v>12</v>
      </c>
      <c r="C259" t="s">
        <v>15</v>
      </c>
      <c r="D259" t="s">
        <v>19</v>
      </c>
      <c r="E259" t="s">
        <v>31</v>
      </c>
      <c r="F259" t="s">
        <v>33</v>
      </c>
      <c r="G259" t="s">
        <v>38</v>
      </c>
      <c r="H259">
        <v>3</v>
      </c>
      <c r="I259">
        <v>1</v>
      </c>
      <c r="J259">
        <v>4</v>
      </c>
      <c r="K259">
        <v>2</v>
      </c>
      <c r="L259" t="s">
        <v>40</v>
      </c>
    </row>
    <row r="260" spans="1:12" x14ac:dyDescent="0.35">
      <c r="A260">
        <v>55</v>
      </c>
      <c r="B260" t="s">
        <v>13</v>
      </c>
      <c r="C260" t="s">
        <v>14</v>
      </c>
      <c r="D260" t="s">
        <v>18</v>
      </c>
      <c r="E260" t="s">
        <v>31</v>
      </c>
      <c r="F260" t="s">
        <v>33</v>
      </c>
      <c r="G260" t="s">
        <v>37</v>
      </c>
      <c r="H260">
        <v>2</v>
      </c>
      <c r="I260">
        <v>5</v>
      </c>
      <c r="J260">
        <v>4</v>
      </c>
      <c r="K260">
        <v>1</v>
      </c>
      <c r="L260" t="s">
        <v>39</v>
      </c>
    </row>
    <row r="261" spans="1:12" x14ac:dyDescent="0.35">
      <c r="A261">
        <v>25</v>
      </c>
      <c r="B261" t="s">
        <v>13</v>
      </c>
      <c r="C261" t="s">
        <v>14</v>
      </c>
      <c r="D261" t="s">
        <v>18</v>
      </c>
      <c r="E261" t="s">
        <v>28</v>
      </c>
      <c r="F261" t="s">
        <v>33</v>
      </c>
      <c r="G261" t="s">
        <v>36</v>
      </c>
      <c r="H261">
        <v>5</v>
      </c>
      <c r="I261">
        <v>1</v>
      </c>
      <c r="J261">
        <v>4</v>
      </c>
      <c r="K261">
        <v>1</v>
      </c>
      <c r="L261" t="s">
        <v>39</v>
      </c>
    </row>
    <row r="262" spans="1:12" x14ac:dyDescent="0.35">
      <c r="A262">
        <v>55</v>
      </c>
      <c r="B262" t="s">
        <v>12</v>
      </c>
      <c r="C262" t="s">
        <v>14</v>
      </c>
      <c r="D262" t="s">
        <v>20</v>
      </c>
      <c r="E262" t="s">
        <v>32</v>
      </c>
      <c r="F262" t="s">
        <v>35</v>
      </c>
      <c r="G262" t="s">
        <v>38</v>
      </c>
      <c r="H262">
        <v>1</v>
      </c>
      <c r="I262">
        <v>3</v>
      </c>
      <c r="J262">
        <v>1</v>
      </c>
      <c r="K262">
        <v>5</v>
      </c>
      <c r="L262" t="s">
        <v>39</v>
      </c>
    </row>
    <row r="263" spans="1:12" x14ac:dyDescent="0.35">
      <c r="A263">
        <v>30</v>
      </c>
      <c r="B263" t="s">
        <v>12</v>
      </c>
      <c r="C263" t="s">
        <v>15</v>
      </c>
      <c r="D263" t="s">
        <v>19</v>
      </c>
      <c r="E263" t="s">
        <v>25</v>
      </c>
      <c r="F263" t="s">
        <v>33</v>
      </c>
      <c r="G263" t="s">
        <v>37</v>
      </c>
      <c r="H263">
        <v>4</v>
      </c>
      <c r="I263">
        <v>2</v>
      </c>
      <c r="J263">
        <v>1</v>
      </c>
      <c r="K263">
        <v>3</v>
      </c>
      <c r="L263" t="s">
        <v>39</v>
      </c>
    </row>
    <row r="264" spans="1:12" x14ac:dyDescent="0.35">
      <c r="A264">
        <v>45</v>
      </c>
      <c r="B264" t="s">
        <v>12</v>
      </c>
      <c r="C264" t="s">
        <v>17</v>
      </c>
      <c r="D264" t="s">
        <v>20</v>
      </c>
      <c r="E264" t="s">
        <v>26</v>
      </c>
      <c r="F264" t="s">
        <v>33</v>
      </c>
      <c r="G264" t="s">
        <v>36</v>
      </c>
      <c r="H264">
        <v>3</v>
      </c>
      <c r="I264">
        <v>1</v>
      </c>
      <c r="J264">
        <v>4</v>
      </c>
      <c r="K264">
        <v>4</v>
      </c>
      <c r="L264" t="s">
        <v>39</v>
      </c>
    </row>
    <row r="265" spans="1:12" x14ac:dyDescent="0.35">
      <c r="A265">
        <v>22</v>
      </c>
      <c r="B265" t="s">
        <v>13</v>
      </c>
      <c r="C265" t="s">
        <v>17</v>
      </c>
      <c r="D265" t="s">
        <v>20</v>
      </c>
      <c r="E265" t="s">
        <v>22</v>
      </c>
      <c r="F265" t="s">
        <v>33</v>
      </c>
      <c r="G265" t="s">
        <v>38</v>
      </c>
      <c r="H265">
        <v>1</v>
      </c>
      <c r="I265">
        <v>5</v>
      </c>
      <c r="J265">
        <v>1</v>
      </c>
      <c r="K265">
        <v>4</v>
      </c>
      <c r="L265" t="s">
        <v>39</v>
      </c>
    </row>
    <row r="266" spans="1:12" x14ac:dyDescent="0.35">
      <c r="A266">
        <v>22</v>
      </c>
      <c r="B266" t="s">
        <v>12</v>
      </c>
      <c r="C266" t="s">
        <v>14</v>
      </c>
      <c r="D266" t="s">
        <v>20</v>
      </c>
      <c r="E266" t="s">
        <v>30</v>
      </c>
      <c r="F266" t="s">
        <v>33</v>
      </c>
      <c r="G266" t="s">
        <v>38</v>
      </c>
      <c r="H266">
        <v>4</v>
      </c>
      <c r="I266">
        <v>1</v>
      </c>
      <c r="J266">
        <v>5</v>
      </c>
      <c r="K266">
        <v>2</v>
      </c>
      <c r="L266" t="s">
        <v>40</v>
      </c>
    </row>
    <row r="267" spans="1:12" x14ac:dyDescent="0.35">
      <c r="A267">
        <v>30</v>
      </c>
      <c r="B267" t="s">
        <v>13</v>
      </c>
      <c r="C267" t="s">
        <v>17</v>
      </c>
      <c r="D267" t="s">
        <v>19</v>
      </c>
      <c r="E267" t="s">
        <v>23</v>
      </c>
      <c r="F267" t="s">
        <v>35</v>
      </c>
      <c r="G267" t="s">
        <v>38</v>
      </c>
      <c r="H267">
        <v>2</v>
      </c>
      <c r="I267">
        <v>4</v>
      </c>
      <c r="J267">
        <v>3</v>
      </c>
      <c r="K267">
        <v>1</v>
      </c>
      <c r="L267" t="s">
        <v>39</v>
      </c>
    </row>
    <row r="268" spans="1:12" x14ac:dyDescent="0.35">
      <c r="A268">
        <v>22</v>
      </c>
      <c r="B268" t="s">
        <v>12</v>
      </c>
      <c r="C268" t="s">
        <v>14</v>
      </c>
      <c r="D268" t="s">
        <v>19</v>
      </c>
      <c r="E268" t="s">
        <v>24</v>
      </c>
      <c r="F268" t="s">
        <v>33</v>
      </c>
      <c r="G268" t="s">
        <v>37</v>
      </c>
      <c r="H268">
        <v>3</v>
      </c>
      <c r="I268">
        <v>4</v>
      </c>
      <c r="J268">
        <v>4</v>
      </c>
      <c r="K268">
        <v>3</v>
      </c>
      <c r="L268" t="s">
        <v>39</v>
      </c>
    </row>
    <row r="269" spans="1:12" x14ac:dyDescent="0.35">
      <c r="A269">
        <v>30</v>
      </c>
      <c r="B269" t="s">
        <v>13</v>
      </c>
      <c r="C269" t="s">
        <v>16</v>
      </c>
      <c r="D269" t="s">
        <v>20</v>
      </c>
      <c r="E269" t="s">
        <v>24</v>
      </c>
      <c r="F269" t="s">
        <v>33</v>
      </c>
      <c r="G269" t="s">
        <v>38</v>
      </c>
      <c r="H269">
        <v>4</v>
      </c>
      <c r="I269">
        <v>3</v>
      </c>
      <c r="J269">
        <v>3</v>
      </c>
      <c r="K269">
        <v>5</v>
      </c>
      <c r="L269" t="s">
        <v>40</v>
      </c>
    </row>
    <row r="270" spans="1:12" x14ac:dyDescent="0.35">
      <c r="A270">
        <v>50</v>
      </c>
      <c r="B270" t="s">
        <v>12</v>
      </c>
      <c r="C270" t="s">
        <v>14</v>
      </c>
      <c r="D270" t="s">
        <v>20</v>
      </c>
      <c r="E270" t="s">
        <v>32</v>
      </c>
      <c r="F270" t="s">
        <v>33</v>
      </c>
      <c r="G270" t="s">
        <v>38</v>
      </c>
      <c r="H270">
        <v>4</v>
      </c>
      <c r="I270">
        <v>2</v>
      </c>
      <c r="J270">
        <v>4</v>
      </c>
      <c r="K270">
        <v>5</v>
      </c>
      <c r="L270" t="s">
        <v>40</v>
      </c>
    </row>
    <row r="271" spans="1:12" x14ac:dyDescent="0.35">
      <c r="A271">
        <v>30</v>
      </c>
      <c r="B271" t="s">
        <v>13</v>
      </c>
      <c r="C271" t="s">
        <v>17</v>
      </c>
      <c r="D271" t="s">
        <v>20</v>
      </c>
      <c r="E271" t="s">
        <v>29</v>
      </c>
      <c r="F271" t="s">
        <v>34</v>
      </c>
      <c r="G271" t="s">
        <v>38</v>
      </c>
      <c r="H271">
        <v>1</v>
      </c>
      <c r="I271">
        <v>5</v>
      </c>
      <c r="J271">
        <v>1</v>
      </c>
      <c r="K271">
        <v>4</v>
      </c>
      <c r="L271" t="s">
        <v>39</v>
      </c>
    </row>
    <row r="272" spans="1:12" x14ac:dyDescent="0.35">
      <c r="A272">
        <v>55</v>
      </c>
      <c r="B272" t="s">
        <v>13</v>
      </c>
      <c r="C272" t="s">
        <v>14</v>
      </c>
      <c r="D272" t="s">
        <v>20</v>
      </c>
      <c r="E272" t="s">
        <v>24</v>
      </c>
      <c r="F272" t="s">
        <v>34</v>
      </c>
      <c r="G272" t="s">
        <v>37</v>
      </c>
      <c r="H272">
        <v>3</v>
      </c>
      <c r="I272">
        <v>1</v>
      </c>
      <c r="J272">
        <v>2</v>
      </c>
      <c r="K272">
        <v>3</v>
      </c>
      <c r="L272" t="s">
        <v>39</v>
      </c>
    </row>
    <row r="273" spans="1:12" x14ac:dyDescent="0.35">
      <c r="A273">
        <v>30</v>
      </c>
      <c r="B273" t="s">
        <v>13</v>
      </c>
      <c r="C273" t="s">
        <v>17</v>
      </c>
      <c r="D273" t="s">
        <v>19</v>
      </c>
      <c r="E273" t="s">
        <v>28</v>
      </c>
      <c r="F273" t="s">
        <v>33</v>
      </c>
      <c r="G273" t="s">
        <v>38</v>
      </c>
      <c r="H273">
        <v>3</v>
      </c>
      <c r="I273">
        <v>1</v>
      </c>
      <c r="J273">
        <v>5</v>
      </c>
      <c r="K273">
        <v>4</v>
      </c>
      <c r="L273" t="s">
        <v>40</v>
      </c>
    </row>
    <row r="274" spans="1:12" x14ac:dyDescent="0.35">
      <c r="A274">
        <v>30</v>
      </c>
      <c r="B274" t="s">
        <v>12</v>
      </c>
      <c r="C274" t="s">
        <v>15</v>
      </c>
      <c r="D274" t="s">
        <v>20</v>
      </c>
      <c r="E274" t="s">
        <v>32</v>
      </c>
      <c r="F274" t="s">
        <v>33</v>
      </c>
      <c r="G274" t="s">
        <v>38</v>
      </c>
      <c r="H274">
        <v>4</v>
      </c>
      <c r="I274">
        <v>2</v>
      </c>
      <c r="J274">
        <v>4</v>
      </c>
      <c r="K274">
        <v>5</v>
      </c>
      <c r="L274" t="s">
        <v>40</v>
      </c>
    </row>
    <row r="275" spans="1:12" x14ac:dyDescent="0.35">
      <c r="A275">
        <v>18</v>
      </c>
      <c r="B275" t="s">
        <v>13</v>
      </c>
      <c r="C275" t="s">
        <v>16</v>
      </c>
      <c r="D275" t="s">
        <v>19</v>
      </c>
      <c r="E275" t="s">
        <v>24</v>
      </c>
      <c r="F275" t="s">
        <v>33</v>
      </c>
      <c r="G275" t="s">
        <v>37</v>
      </c>
      <c r="H275">
        <v>5</v>
      </c>
      <c r="I275">
        <v>3</v>
      </c>
      <c r="J275">
        <v>3</v>
      </c>
      <c r="K275">
        <v>2</v>
      </c>
      <c r="L275" t="s">
        <v>40</v>
      </c>
    </row>
    <row r="276" spans="1:12" x14ac:dyDescent="0.35">
      <c r="A276">
        <v>25</v>
      </c>
      <c r="B276" t="s">
        <v>12</v>
      </c>
      <c r="C276" t="s">
        <v>17</v>
      </c>
      <c r="D276" t="s">
        <v>20</v>
      </c>
      <c r="E276" t="s">
        <v>24</v>
      </c>
      <c r="F276" t="s">
        <v>33</v>
      </c>
      <c r="G276" t="s">
        <v>37</v>
      </c>
      <c r="H276">
        <v>3</v>
      </c>
      <c r="I276">
        <v>2</v>
      </c>
      <c r="J276">
        <v>2</v>
      </c>
      <c r="K276">
        <v>3</v>
      </c>
      <c r="L276" t="s">
        <v>39</v>
      </c>
    </row>
  </sheetData>
  <autoFilter ref="A1:L276" xr:uid="{9714CB7F-9930-47CA-AB7F-7F485834825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8C47-9ADB-4354-8A63-2B16F679F13A}">
  <dimension ref="A1:M276"/>
  <sheetViews>
    <sheetView topLeftCell="I254" workbookViewId="0">
      <selection activeCell="J5" sqref="J5"/>
    </sheetView>
  </sheetViews>
  <sheetFormatPr defaultRowHeight="14.5" x14ac:dyDescent="0.35"/>
  <cols>
    <col min="1" max="1" width="8.453125" bestFit="1" customWidth="1"/>
    <col min="2" max="2" width="14.7265625" bestFit="1" customWidth="1"/>
    <col min="3" max="3" width="11.54296875" bestFit="1" customWidth="1"/>
    <col min="4" max="4" width="18.453125" bestFit="1" customWidth="1"/>
    <col min="5" max="5" width="16.1796875" bestFit="1" customWidth="1"/>
    <col min="6" max="6" width="13.08984375" bestFit="1" customWidth="1"/>
    <col min="7" max="7" width="15.26953125" bestFit="1" customWidth="1"/>
    <col min="8" max="8" width="15.90625" bestFit="1" customWidth="1"/>
    <col min="9" max="9" width="32.7265625" style="2" bestFit="1" customWidth="1"/>
    <col min="10" max="10" width="37.08984375" style="2" bestFit="1" customWidth="1"/>
    <col min="11" max="11" width="34.81640625" style="2" bestFit="1" customWidth="1"/>
    <col min="12" max="12" width="37.54296875" style="2" bestFit="1" customWidth="1"/>
    <col min="13" max="13" width="23.7265625" style="2" bestFit="1" customWidth="1"/>
  </cols>
  <sheetData>
    <row r="1" spans="1:13" x14ac:dyDescent="0.35">
      <c r="A1" s="1" t="s">
        <v>0</v>
      </c>
      <c r="B1" s="1" t="s">
        <v>41</v>
      </c>
      <c r="C1" s="1" t="s">
        <v>1</v>
      </c>
      <c r="D1" s="1" t="s">
        <v>2</v>
      </c>
      <c r="E1" s="1" t="s">
        <v>3</v>
      </c>
      <c r="F1" s="1" t="s">
        <v>4</v>
      </c>
      <c r="G1" s="1" t="s">
        <v>5</v>
      </c>
      <c r="H1" s="1" t="s">
        <v>6</v>
      </c>
      <c r="I1" s="1" t="s">
        <v>44</v>
      </c>
      <c r="J1" s="1" t="s">
        <v>46</v>
      </c>
      <c r="K1" s="1" t="s">
        <v>47</v>
      </c>
      <c r="L1" s="1" t="s">
        <v>48</v>
      </c>
      <c r="M1" s="1" t="s">
        <v>11</v>
      </c>
    </row>
    <row r="2" spans="1:13" x14ac:dyDescent="0.35">
      <c r="A2">
        <v>22</v>
      </c>
      <c r="B2" t="str">
        <f>IF(A:A&gt;=55,"Seniors",IF(A:A&gt;=35,"Adults",IF(A:A&gt;=20,"Young Adults",IF(A:A&gt;=18,"Young"))))</f>
        <v>Young Adults</v>
      </c>
      <c r="C2" t="s">
        <v>12</v>
      </c>
      <c r="D2" t="s">
        <v>14</v>
      </c>
      <c r="E2" t="s">
        <v>18</v>
      </c>
      <c r="F2" t="s">
        <v>21</v>
      </c>
      <c r="G2" t="s">
        <v>33</v>
      </c>
      <c r="H2" t="s">
        <v>36</v>
      </c>
      <c r="I2" s="2" t="s">
        <v>43</v>
      </c>
      <c r="J2" s="2" t="s">
        <v>45</v>
      </c>
      <c r="K2" s="2" t="s">
        <v>45</v>
      </c>
      <c r="L2" s="2" t="s">
        <v>42</v>
      </c>
      <c r="M2" s="2" t="s">
        <v>39</v>
      </c>
    </row>
    <row r="3" spans="1:13" x14ac:dyDescent="0.35">
      <c r="A3">
        <v>25</v>
      </c>
      <c r="B3" t="str">
        <f t="shared" ref="B3:B66" si="0">IF(A:A&gt;=55,"Seniors",IF(A:A&gt;=35,"Adults",IF(A:A&gt;=20,"Young Adults",IF(A:A&gt;=18,"Young"))))</f>
        <v>Young Adults</v>
      </c>
      <c r="C3" t="s">
        <v>12</v>
      </c>
      <c r="D3" t="s">
        <v>14</v>
      </c>
      <c r="E3" t="s">
        <v>19</v>
      </c>
      <c r="F3" t="s">
        <v>22</v>
      </c>
      <c r="G3" t="s">
        <v>33</v>
      </c>
      <c r="H3" t="s">
        <v>37</v>
      </c>
      <c r="I3" s="2" t="s">
        <v>43</v>
      </c>
      <c r="J3" s="2" t="s">
        <v>20</v>
      </c>
      <c r="K3" s="2" t="s">
        <v>43</v>
      </c>
      <c r="L3" s="2" t="s">
        <v>18</v>
      </c>
      <c r="M3" s="2" t="s">
        <v>40</v>
      </c>
    </row>
    <row r="4" spans="1:13" x14ac:dyDescent="0.35">
      <c r="A4">
        <v>25</v>
      </c>
      <c r="B4" t="str">
        <f t="shared" si="0"/>
        <v>Young Adults</v>
      </c>
      <c r="C4" t="s">
        <v>12</v>
      </c>
      <c r="D4" t="s">
        <v>15</v>
      </c>
      <c r="E4" t="s">
        <v>19</v>
      </c>
      <c r="F4" t="s">
        <v>23</v>
      </c>
      <c r="G4" t="s">
        <v>33</v>
      </c>
      <c r="H4" t="s">
        <v>37</v>
      </c>
      <c r="I4" s="2" t="s">
        <v>18</v>
      </c>
      <c r="J4" s="2" t="s">
        <v>42</v>
      </c>
      <c r="K4" s="2" t="s">
        <v>18</v>
      </c>
      <c r="L4" s="2" t="s">
        <v>43</v>
      </c>
      <c r="M4" s="2" t="s">
        <v>40</v>
      </c>
    </row>
    <row r="5" spans="1:13" x14ac:dyDescent="0.35">
      <c r="A5">
        <v>25</v>
      </c>
      <c r="B5" t="str">
        <f t="shared" si="0"/>
        <v>Young Adults</v>
      </c>
      <c r="C5" t="s">
        <v>13</v>
      </c>
      <c r="D5" t="s">
        <v>16</v>
      </c>
      <c r="E5" t="s">
        <v>20</v>
      </c>
      <c r="F5" t="s">
        <v>24</v>
      </c>
      <c r="G5" t="s">
        <v>33</v>
      </c>
      <c r="H5" t="s">
        <v>36</v>
      </c>
      <c r="I5" s="2" t="s">
        <v>43</v>
      </c>
      <c r="J5" s="2" t="s">
        <v>42</v>
      </c>
      <c r="K5" s="2" t="s">
        <v>42</v>
      </c>
      <c r="L5" s="2" t="s">
        <v>45</v>
      </c>
      <c r="M5" s="2" t="s">
        <v>39</v>
      </c>
    </row>
    <row r="6" spans="1:13" x14ac:dyDescent="0.35">
      <c r="A6">
        <v>45</v>
      </c>
      <c r="B6" t="str">
        <f t="shared" si="0"/>
        <v>Adults</v>
      </c>
      <c r="C6" t="s">
        <v>12</v>
      </c>
      <c r="D6" t="s">
        <v>15</v>
      </c>
      <c r="E6" t="s">
        <v>19</v>
      </c>
      <c r="F6" t="s">
        <v>25</v>
      </c>
      <c r="G6" t="s">
        <v>33</v>
      </c>
      <c r="H6" t="s">
        <v>37</v>
      </c>
      <c r="I6" s="2" t="s">
        <v>43</v>
      </c>
      <c r="J6" s="2" t="s">
        <v>42</v>
      </c>
      <c r="K6" s="2" t="s">
        <v>18</v>
      </c>
      <c r="L6" s="2" t="s">
        <v>20</v>
      </c>
      <c r="M6" s="2" t="s">
        <v>40</v>
      </c>
    </row>
    <row r="7" spans="1:13" x14ac:dyDescent="0.35">
      <c r="A7">
        <v>35</v>
      </c>
      <c r="B7" t="str">
        <f t="shared" si="0"/>
        <v>Adults</v>
      </c>
      <c r="C7" t="s">
        <v>13</v>
      </c>
      <c r="D7" t="s">
        <v>15</v>
      </c>
      <c r="E7" t="s">
        <v>18</v>
      </c>
      <c r="F7" t="s">
        <v>23</v>
      </c>
      <c r="G7" t="s">
        <v>33</v>
      </c>
      <c r="H7" t="s">
        <v>38</v>
      </c>
      <c r="I7" s="2" t="s">
        <v>18</v>
      </c>
      <c r="J7" s="2" t="s">
        <v>43</v>
      </c>
      <c r="K7" s="2" t="s">
        <v>18</v>
      </c>
      <c r="L7" s="2" t="s">
        <v>18</v>
      </c>
      <c r="M7" s="2" t="s">
        <v>40</v>
      </c>
    </row>
    <row r="8" spans="1:13" x14ac:dyDescent="0.35">
      <c r="A8">
        <v>22</v>
      </c>
      <c r="B8" t="str">
        <f t="shared" si="0"/>
        <v>Young Adults</v>
      </c>
      <c r="C8" t="s">
        <v>13</v>
      </c>
      <c r="D8" t="s">
        <v>15</v>
      </c>
      <c r="E8" t="s">
        <v>19</v>
      </c>
      <c r="F8" t="s">
        <v>26</v>
      </c>
      <c r="G8" t="s">
        <v>33</v>
      </c>
      <c r="H8" t="s">
        <v>38</v>
      </c>
      <c r="I8" s="2" t="s">
        <v>18</v>
      </c>
      <c r="J8" s="2" t="s">
        <v>18</v>
      </c>
      <c r="K8" s="2" t="s">
        <v>45</v>
      </c>
      <c r="L8" s="2" t="s">
        <v>18</v>
      </c>
      <c r="M8" s="2" t="s">
        <v>39</v>
      </c>
    </row>
    <row r="9" spans="1:13" x14ac:dyDescent="0.35">
      <c r="A9">
        <v>18</v>
      </c>
      <c r="B9" t="str">
        <f t="shared" si="0"/>
        <v>Young</v>
      </c>
      <c r="C9" t="s">
        <v>13</v>
      </c>
      <c r="D9" t="s">
        <v>14</v>
      </c>
      <c r="E9" t="s">
        <v>20</v>
      </c>
      <c r="F9" t="s">
        <v>27</v>
      </c>
      <c r="G9" t="s">
        <v>33</v>
      </c>
      <c r="H9" t="s">
        <v>37</v>
      </c>
      <c r="I9" s="2" t="s">
        <v>43</v>
      </c>
      <c r="J9" s="2" t="s">
        <v>42</v>
      </c>
      <c r="K9" s="2" t="s">
        <v>18</v>
      </c>
      <c r="L9" s="2" t="s">
        <v>43</v>
      </c>
      <c r="M9" s="2" t="s">
        <v>40</v>
      </c>
    </row>
    <row r="10" spans="1:13" x14ac:dyDescent="0.35">
      <c r="A10">
        <v>18</v>
      </c>
      <c r="B10" t="str">
        <f t="shared" si="0"/>
        <v>Young</v>
      </c>
      <c r="C10" t="s">
        <v>12</v>
      </c>
      <c r="D10" t="s">
        <v>15</v>
      </c>
      <c r="E10" t="s">
        <v>19</v>
      </c>
      <c r="F10" t="s">
        <v>28</v>
      </c>
      <c r="G10" t="s">
        <v>33</v>
      </c>
      <c r="H10" t="s">
        <v>37</v>
      </c>
      <c r="I10" s="2" t="s">
        <v>20</v>
      </c>
      <c r="J10" s="2" t="s">
        <v>18</v>
      </c>
      <c r="K10" s="2" t="s">
        <v>18</v>
      </c>
      <c r="L10" s="2" t="s">
        <v>18</v>
      </c>
      <c r="M10" s="2" t="s">
        <v>39</v>
      </c>
    </row>
    <row r="11" spans="1:13" x14ac:dyDescent="0.35">
      <c r="A11">
        <v>40</v>
      </c>
      <c r="B11" t="str">
        <f t="shared" si="0"/>
        <v>Adults</v>
      </c>
      <c r="C11" t="s">
        <v>13</v>
      </c>
      <c r="D11" t="s">
        <v>17</v>
      </c>
      <c r="E11" t="s">
        <v>18</v>
      </c>
      <c r="F11" t="s">
        <v>24</v>
      </c>
      <c r="G11" t="s">
        <v>33</v>
      </c>
      <c r="H11" t="s">
        <v>38</v>
      </c>
      <c r="I11" s="2" t="s">
        <v>18</v>
      </c>
      <c r="J11" s="2" t="s">
        <v>18</v>
      </c>
      <c r="K11" s="2" t="s">
        <v>43</v>
      </c>
      <c r="L11" s="2" t="s">
        <v>18</v>
      </c>
      <c r="M11" s="2" t="s">
        <v>39</v>
      </c>
    </row>
    <row r="12" spans="1:13" x14ac:dyDescent="0.35">
      <c r="A12">
        <v>30</v>
      </c>
      <c r="B12" t="str">
        <f t="shared" si="0"/>
        <v>Young Adults</v>
      </c>
      <c r="C12" t="s">
        <v>12</v>
      </c>
      <c r="D12" t="s">
        <v>14</v>
      </c>
      <c r="E12" t="s">
        <v>18</v>
      </c>
      <c r="F12" t="s">
        <v>29</v>
      </c>
      <c r="G12" t="s">
        <v>33</v>
      </c>
      <c r="H12" t="s">
        <v>37</v>
      </c>
      <c r="I12" s="2" t="s">
        <v>45</v>
      </c>
      <c r="J12" s="2" t="s">
        <v>18</v>
      </c>
      <c r="K12" s="2" t="s">
        <v>43</v>
      </c>
      <c r="L12" s="2" t="s">
        <v>42</v>
      </c>
      <c r="M12" s="2" t="s">
        <v>39</v>
      </c>
    </row>
    <row r="13" spans="1:13" x14ac:dyDescent="0.35">
      <c r="A13">
        <v>50</v>
      </c>
      <c r="B13" t="str">
        <f t="shared" si="0"/>
        <v>Adults</v>
      </c>
      <c r="C13" t="s">
        <v>13</v>
      </c>
      <c r="D13" t="s">
        <v>16</v>
      </c>
      <c r="E13" t="s">
        <v>19</v>
      </c>
      <c r="F13" t="s">
        <v>27</v>
      </c>
      <c r="G13" t="s">
        <v>33</v>
      </c>
      <c r="H13" t="s">
        <v>38</v>
      </c>
      <c r="I13" s="2" t="s">
        <v>45</v>
      </c>
      <c r="J13" s="2" t="s">
        <v>18</v>
      </c>
      <c r="K13" s="2" t="s">
        <v>18</v>
      </c>
      <c r="L13" s="2" t="s">
        <v>20</v>
      </c>
      <c r="M13" s="2" t="s">
        <v>39</v>
      </c>
    </row>
    <row r="14" spans="1:13" x14ac:dyDescent="0.35">
      <c r="A14">
        <v>25</v>
      </c>
      <c r="B14" t="str">
        <f t="shared" si="0"/>
        <v>Young Adults</v>
      </c>
      <c r="C14" t="s">
        <v>12</v>
      </c>
      <c r="D14" t="s">
        <v>16</v>
      </c>
      <c r="E14" t="s">
        <v>20</v>
      </c>
      <c r="F14" t="s">
        <v>30</v>
      </c>
      <c r="G14" t="s">
        <v>33</v>
      </c>
      <c r="H14" t="s">
        <v>37</v>
      </c>
      <c r="I14" s="2" t="s">
        <v>18</v>
      </c>
      <c r="J14" s="2" t="s">
        <v>42</v>
      </c>
      <c r="K14" s="2" t="s">
        <v>42</v>
      </c>
      <c r="L14" s="2" t="s">
        <v>18</v>
      </c>
      <c r="M14" s="2" t="s">
        <v>39</v>
      </c>
    </row>
    <row r="15" spans="1:13" x14ac:dyDescent="0.35">
      <c r="A15">
        <v>18</v>
      </c>
      <c r="B15" t="str">
        <f t="shared" si="0"/>
        <v>Young</v>
      </c>
      <c r="C15" t="s">
        <v>12</v>
      </c>
      <c r="D15" t="s">
        <v>17</v>
      </c>
      <c r="E15" t="s">
        <v>20</v>
      </c>
      <c r="F15" t="s">
        <v>23</v>
      </c>
      <c r="G15" t="s">
        <v>33</v>
      </c>
      <c r="H15" t="s">
        <v>38</v>
      </c>
      <c r="I15" s="2" t="s">
        <v>18</v>
      </c>
      <c r="J15" s="2" t="s">
        <v>18</v>
      </c>
      <c r="K15" s="2" t="s">
        <v>42</v>
      </c>
      <c r="L15" s="2" t="s">
        <v>20</v>
      </c>
      <c r="M15" s="2" t="s">
        <v>39</v>
      </c>
    </row>
    <row r="16" spans="1:13" x14ac:dyDescent="0.35">
      <c r="A16">
        <v>45</v>
      </c>
      <c r="B16" t="str">
        <f t="shared" si="0"/>
        <v>Adults</v>
      </c>
      <c r="C16" t="s">
        <v>13</v>
      </c>
      <c r="D16" t="s">
        <v>15</v>
      </c>
      <c r="E16" t="s">
        <v>18</v>
      </c>
      <c r="F16" t="s">
        <v>31</v>
      </c>
      <c r="G16" t="s">
        <v>33</v>
      </c>
      <c r="H16" t="s">
        <v>36</v>
      </c>
      <c r="I16" s="2" t="s">
        <v>18</v>
      </c>
      <c r="J16" s="2" t="s">
        <v>43</v>
      </c>
      <c r="K16" s="2" t="s">
        <v>20</v>
      </c>
      <c r="L16" s="2" t="s">
        <v>20</v>
      </c>
      <c r="M16" s="2" t="s">
        <v>39</v>
      </c>
    </row>
    <row r="17" spans="1:13" x14ac:dyDescent="0.35">
      <c r="A17">
        <v>60</v>
      </c>
      <c r="B17" t="str">
        <f t="shared" si="0"/>
        <v>Seniors</v>
      </c>
      <c r="C17" t="s">
        <v>12</v>
      </c>
      <c r="D17" t="s">
        <v>16</v>
      </c>
      <c r="E17" t="s">
        <v>19</v>
      </c>
      <c r="F17" t="s">
        <v>32</v>
      </c>
      <c r="G17" t="s">
        <v>33</v>
      </c>
      <c r="H17" t="s">
        <v>38</v>
      </c>
      <c r="I17" s="2" t="s">
        <v>20</v>
      </c>
      <c r="J17" s="2" t="s">
        <v>45</v>
      </c>
      <c r="K17" s="2" t="s">
        <v>18</v>
      </c>
      <c r="L17" s="2" t="s">
        <v>45</v>
      </c>
      <c r="M17" s="2" t="s">
        <v>39</v>
      </c>
    </row>
    <row r="18" spans="1:13" x14ac:dyDescent="0.35">
      <c r="A18">
        <v>25</v>
      </c>
      <c r="B18" t="str">
        <f t="shared" si="0"/>
        <v>Young Adults</v>
      </c>
      <c r="C18" t="s">
        <v>12</v>
      </c>
      <c r="D18" t="s">
        <v>14</v>
      </c>
      <c r="E18" t="s">
        <v>20</v>
      </c>
      <c r="F18" t="s">
        <v>30</v>
      </c>
      <c r="G18" t="s">
        <v>33</v>
      </c>
      <c r="H18" t="s">
        <v>38</v>
      </c>
      <c r="I18" s="2" t="s">
        <v>45</v>
      </c>
      <c r="J18" s="2" t="s">
        <v>18</v>
      </c>
      <c r="K18" s="2" t="s">
        <v>18</v>
      </c>
      <c r="L18" s="2" t="s">
        <v>20</v>
      </c>
      <c r="M18" s="2" t="s">
        <v>39</v>
      </c>
    </row>
    <row r="19" spans="1:13" x14ac:dyDescent="0.35">
      <c r="A19">
        <v>45</v>
      </c>
      <c r="B19" t="str">
        <f t="shared" si="0"/>
        <v>Adults</v>
      </c>
      <c r="C19" t="s">
        <v>13</v>
      </c>
      <c r="D19" t="s">
        <v>16</v>
      </c>
      <c r="E19" t="s">
        <v>19</v>
      </c>
      <c r="F19" t="s">
        <v>22</v>
      </c>
      <c r="G19" t="s">
        <v>33</v>
      </c>
      <c r="H19" t="s">
        <v>37</v>
      </c>
      <c r="I19" s="2" t="s">
        <v>42</v>
      </c>
      <c r="J19" s="2" t="s">
        <v>43</v>
      </c>
      <c r="K19" s="2" t="s">
        <v>20</v>
      </c>
      <c r="L19" s="2" t="s">
        <v>42</v>
      </c>
      <c r="M19" s="2" t="s">
        <v>39</v>
      </c>
    </row>
    <row r="20" spans="1:13" x14ac:dyDescent="0.35">
      <c r="A20">
        <v>40</v>
      </c>
      <c r="B20" t="str">
        <f t="shared" si="0"/>
        <v>Adults</v>
      </c>
      <c r="C20" t="s">
        <v>12</v>
      </c>
      <c r="D20" t="s">
        <v>16</v>
      </c>
      <c r="E20" t="s">
        <v>18</v>
      </c>
      <c r="F20" t="s">
        <v>22</v>
      </c>
      <c r="G20" t="s">
        <v>33</v>
      </c>
      <c r="H20" t="s">
        <v>38</v>
      </c>
      <c r="I20" s="2" t="s">
        <v>43</v>
      </c>
      <c r="J20" s="2" t="s">
        <v>20</v>
      </c>
      <c r="K20" s="2" t="s">
        <v>43</v>
      </c>
      <c r="L20" s="2" t="s">
        <v>18</v>
      </c>
      <c r="M20" s="2" t="s">
        <v>40</v>
      </c>
    </row>
    <row r="21" spans="1:13" x14ac:dyDescent="0.35">
      <c r="A21">
        <v>40</v>
      </c>
      <c r="B21" t="str">
        <f t="shared" si="0"/>
        <v>Adults</v>
      </c>
      <c r="C21" t="s">
        <v>13</v>
      </c>
      <c r="D21" t="s">
        <v>14</v>
      </c>
      <c r="E21" t="s">
        <v>19</v>
      </c>
      <c r="F21" t="s">
        <v>26</v>
      </c>
      <c r="G21" t="s">
        <v>33</v>
      </c>
      <c r="H21" t="s">
        <v>36</v>
      </c>
      <c r="I21" s="2" t="s">
        <v>18</v>
      </c>
      <c r="J21" s="2" t="s">
        <v>20</v>
      </c>
      <c r="K21" s="2" t="s">
        <v>42</v>
      </c>
      <c r="L21" s="2" t="s">
        <v>20</v>
      </c>
      <c r="M21" s="2" t="s">
        <v>39</v>
      </c>
    </row>
    <row r="22" spans="1:13" x14ac:dyDescent="0.35">
      <c r="A22">
        <v>25</v>
      </c>
      <c r="B22" t="str">
        <f t="shared" si="0"/>
        <v>Young Adults</v>
      </c>
      <c r="C22" t="s">
        <v>13</v>
      </c>
      <c r="D22" t="s">
        <v>16</v>
      </c>
      <c r="E22" t="s">
        <v>20</v>
      </c>
      <c r="F22" t="s">
        <v>30</v>
      </c>
      <c r="G22" t="s">
        <v>34</v>
      </c>
      <c r="H22" t="s">
        <v>38</v>
      </c>
      <c r="I22" s="2" t="s">
        <v>20</v>
      </c>
      <c r="J22" s="2" t="s">
        <v>43</v>
      </c>
      <c r="K22" s="2" t="s">
        <v>20</v>
      </c>
      <c r="L22" s="2" t="s">
        <v>42</v>
      </c>
      <c r="M22" s="2" t="s">
        <v>39</v>
      </c>
    </row>
    <row r="23" spans="1:13" x14ac:dyDescent="0.35">
      <c r="A23">
        <v>45</v>
      </c>
      <c r="B23" t="str">
        <f t="shared" si="0"/>
        <v>Adults</v>
      </c>
      <c r="C23" t="s">
        <v>12</v>
      </c>
      <c r="D23" t="s">
        <v>17</v>
      </c>
      <c r="E23" t="s">
        <v>19</v>
      </c>
      <c r="F23" t="s">
        <v>29</v>
      </c>
      <c r="G23" t="s">
        <v>33</v>
      </c>
      <c r="H23" t="s">
        <v>37</v>
      </c>
      <c r="I23" s="2" t="s">
        <v>18</v>
      </c>
      <c r="J23" s="2" t="s">
        <v>43</v>
      </c>
      <c r="K23" s="2" t="s">
        <v>45</v>
      </c>
      <c r="L23" s="2" t="s">
        <v>42</v>
      </c>
      <c r="M23" s="2" t="s">
        <v>40</v>
      </c>
    </row>
    <row r="24" spans="1:13" x14ac:dyDescent="0.35">
      <c r="A24">
        <v>18</v>
      </c>
      <c r="B24" t="str">
        <f t="shared" si="0"/>
        <v>Young</v>
      </c>
      <c r="C24" t="s">
        <v>13</v>
      </c>
      <c r="D24" t="s">
        <v>15</v>
      </c>
      <c r="E24" t="s">
        <v>19</v>
      </c>
      <c r="F24" t="s">
        <v>24</v>
      </c>
      <c r="G24" t="s">
        <v>33</v>
      </c>
      <c r="H24" t="s">
        <v>37</v>
      </c>
      <c r="I24" s="2" t="s">
        <v>45</v>
      </c>
      <c r="J24" s="2" t="s">
        <v>20</v>
      </c>
      <c r="K24" s="2" t="s">
        <v>42</v>
      </c>
      <c r="L24" s="2" t="s">
        <v>43</v>
      </c>
      <c r="M24" s="2" t="s">
        <v>39</v>
      </c>
    </row>
    <row r="25" spans="1:13" x14ac:dyDescent="0.35">
      <c r="A25">
        <v>45</v>
      </c>
      <c r="B25" t="str">
        <f t="shared" si="0"/>
        <v>Adults</v>
      </c>
      <c r="C25" t="s">
        <v>12</v>
      </c>
      <c r="D25" t="s">
        <v>14</v>
      </c>
      <c r="E25" t="s">
        <v>19</v>
      </c>
      <c r="F25" t="s">
        <v>22</v>
      </c>
      <c r="G25" t="s">
        <v>33</v>
      </c>
      <c r="H25" t="s">
        <v>37</v>
      </c>
      <c r="I25" s="2" t="s">
        <v>18</v>
      </c>
      <c r="J25" s="2" t="s">
        <v>42</v>
      </c>
      <c r="K25" s="2" t="s">
        <v>45</v>
      </c>
      <c r="L25" s="2" t="s">
        <v>43</v>
      </c>
      <c r="M25" s="2" t="s">
        <v>40</v>
      </c>
    </row>
    <row r="26" spans="1:13" x14ac:dyDescent="0.35">
      <c r="A26">
        <v>40</v>
      </c>
      <c r="B26" t="str">
        <f t="shared" si="0"/>
        <v>Adults</v>
      </c>
      <c r="C26" t="s">
        <v>13</v>
      </c>
      <c r="D26" t="s">
        <v>17</v>
      </c>
      <c r="E26" t="s">
        <v>20</v>
      </c>
      <c r="F26" t="s">
        <v>32</v>
      </c>
      <c r="G26" t="s">
        <v>33</v>
      </c>
      <c r="H26" t="s">
        <v>38</v>
      </c>
      <c r="I26" s="2" t="s">
        <v>20</v>
      </c>
      <c r="J26" s="2" t="s">
        <v>18</v>
      </c>
      <c r="K26" s="2" t="s">
        <v>45</v>
      </c>
      <c r="L26" s="2" t="s">
        <v>43</v>
      </c>
      <c r="M26" s="2" t="s">
        <v>39</v>
      </c>
    </row>
    <row r="27" spans="1:13" x14ac:dyDescent="0.35">
      <c r="A27">
        <v>35</v>
      </c>
      <c r="B27" t="str">
        <f t="shared" si="0"/>
        <v>Adults</v>
      </c>
      <c r="C27" t="s">
        <v>12</v>
      </c>
      <c r="D27" t="s">
        <v>14</v>
      </c>
      <c r="E27" t="s">
        <v>18</v>
      </c>
      <c r="F27" t="s">
        <v>24</v>
      </c>
      <c r="G27" t="s">
        <v>33</v>
      </c>
      <c r="H27" t="s">
        <v>38</v>
      </c>
      <c r="I27" s="2" t="s">
        <v>45</v>
      </c>
      <c r="J27" s="2" t="s">
        <v>18</v>
      </c>
      <c r="K27" s="2" t="s">
        <v>18</v>
      </c>
      <c r="L27" s="2" t="s">
        <v>18</v>
      </c>
      <c r="M27" s="2" t="s">
        <v>39</v>
      </c>
    </row>
    <row r="28" spans="1:13" x14ac:dyDescent="0.35">
      <c r="A28">
        <v>45</v>
      </c>
      <c r="B28" t="str">
        <f t="shared" si="0"/>
        <v>Adults</v>
      </c>
      <c r="C28" t="s">
        <v>12</v>
      </c>
      <c r="D28" t="s">
        <v>14</v>
      </c>
      <c r="E28" t="s">
        <v>19</v>
      </c>
      <c r="F28" t="s">
        <v>25</v>
      </c>
      <c r="G28" t="s">
        <v>34</v>
      </c>
      <c r="H28" t="s">
        <v>37</v>
      </c>
      <c r="I28" s="2" t="s">
        <v>43</v>
      </c>
      <c r="J28" s="2" t="s">
        <v>20</v>
      </c>
      <c r="K28" s="2" t="s">
        <v>20</v>
      </c>
      <c r="L28" s="2" t="s">
        <v>43</v>
      </c>
      <c r="M28" s="2" t="s">
        <v>39</v>
      </c>
    </row>
    <row r="29" spans="1:13" x14ac:dyDescent="0.35">
      <c r="A29">
        <v>30</v>
      </c>
      <c r="B29" t="str">
        <f t="shared" si="0"/>
        <v>Young Adults</v>
      </c>
      <c r="C29" t="s">
        <v>13</v>
      </c>
      <c r="D29" t="s">
        <v>17</v>
      </c>
      <c r="E29" t="s">
        <v>20</v>
      </c>
      <c r="F29" t="s">
        <v>21</v>
      </c>
      <c r="G29" t="s">
        <v>33</v>
      </c>
      <c r="H29" t="s">
        <v>38</v>
      </c>
      <c r="I29" s="2" t="s">
        <v>43</v>
      </c>
      <c r="J29" s="2" t="s">
        <v>42</v>
      </c>
      <c r="K29" s="2" t="s">
        <v>45</v>
      </c>
      <c r="L29" s="2" t="s">
        <v>18</v>
      </c>
      <c r="M29" s="2" t="s">
        <v>40</v>
      </c>
    </row>
    <row r="30" spans="1:13" x14ac:dyDescent="0.35">
      <c r="A30">
        <v>25</v>
      </c>
      <c r="B30" t="str">
        <f t="shared" si="0"/>
        <v>Young Adults</v>
      </c>
      <c r="C30" t="s">
        <v>12</v>
      </c>
      <c r="D30" t="s">
        <v>14</v>
      </c>
      <c r="E30" t="s">
        <v>18</v>
      </c>
      <c r="F30" t="s">
        <v>21</v>
      </c>
      <c r="G30" t="s">
        <v>33</v>
      </c>
      <c r="H30" t="s">
        <v>37</v>
      </c>
      <c r="I30" s="2" t="s">
        <v>20</v>
      </c>
      <c r="J30" s="2" t="s">
        <v>43</v>
      </c>
      <c r="K30" s="2" t="s">
        <v>18</v>
      </c>
      <c r="L30" s="2" t="s">
        <v>18</v>
      </c>
      <c r="M30" s="2" t="s">
        <v>39</v>
      </c>
    </row>
    <row r="31" spans="1:13" x14ac:dyDescent="0.35">
      <c r="A31">
        <v>55</v>
      </c>
      <c r="B31" t="str">
        <f t="shared" si="0"/>
        <v>Seniors</v>
      </c>
      <c r="C31" t="s">
        <v>13</v>
      </c>
      <c r="D31" t="s">
        <v>14</v>
      </c>
      <c r="E31" t="s">
        <v>20</v>
      </c>
      <c r="F31" t="s">
        <v>32</v>
      </c>
      <c r="G31" t="s">
        <v>33</v>
      </c>
      <c r="H31" t="s">
        <v>37</v>
      </c>
      <c r="I31" s="2" t="s">
        <v>20</v>
      </c>
      <c r="J31" s="2" t="s">
        <v>45</v>
      </c>
      <c r="K31" s="2" t="s">
        <v>45</v>
      </c>
      <c r="L31" s="2" t="s">
        <v>42</v>
      </c>
      <c r="M31" s="2" t="s">
        <v>39</v>
      </c>
    </row>
    <row r="32" spans="1:13" x14ac:dyDescent="0.35">
      <c r="A32">
        <v>18</v>
      </c>
      <c r="B32" t="str">
        <f t="shared" si="0"/>
        <v>Young</v>
      </c>
      <c r="C32" t="s">
        <v>12</v>
      </c>
      <c r="D32" t="s">
        <v>14</v>
      </c>
      <c r="E32" t="s">
        <v>18</v>
      </c>
      <c r="F32" t="s">
        <v>23</v>
      </c>
      <c r="G32" t="s">
        <v>33</v>
      </c>
      <c r="H32" t="s">
        <v>37</v>
      </c>
      <c r="I32" s="2" t="s">
        <v>43</v>
      </c>
      <c r="J32" s="2" t="s">
        <v>42</v>
      </c>
      <c r="K32" s="2" t="s">
        <v>45</v>
      </c>
      <c r="L32" s="2" t="s">
        <v>42</v>
      </c>
      <c r="M32" s="2" t="s">
        <v>40</v>
      </c>
    </row>
    <row r="33" spans="1:13" x14ac:dyDescent="0.35">
      <c r="A33">
        <v>30</v>
      </c>
      <c r="B33" t="str">
        <f t="shared" si="0"/>
        <v>Young Adults</v>
      </c>
      <c r="C33" t="s">
        <v>12</v>
      </c>
      <c r="D33" t="s">
        <v>14</v>
      </c>
      <c r="E33" t="s">
        <v>18</v>
      </c>
      <c r="F33" t="s">
        <v>25</v>
      </c>
      <c r="G33" t="s">
        <v>33</v>
      </c>
      <c r="H33" t="s">
        <v>38</v>
      </c>
      <c r="I33" s="2" t="s">
        <v>45</v>
      </c>
      <c r="J33" s="2" t="s">
        <v>20</v>
      </c>
      <c r="K33" s="2" t="s">
        <v>18</v>
      </c>
      <c r="L33" s="2" t="s">
        <v>42</v>
      </c>
      <c r="M33" s="2" t="s">
        <v>40</v>
      </c>
    </row>
    <row r="34" spans="1:13" x14ac:dyDescent="0.35">
      <c r="A34">
        <v>40</v>
      </c>
      <c r="B34" t="str">
        <f t="shared" si="0"/>
        <v>Adults</v>
      </c>
      <c r="C34" t="s">
        <v>13</v>
      </c>
      <c r="D34" t="s">
        <v>14</v>
      </c>
      <c r="E34" t="s">
        <v>20</v>
      </c>
      <c r="F34" t="s">
        <v>22</v>
      </c>
      <c r="G34" t="s">
        <v>34</v>
      </c>
      <c r="H34" t="s">
        <v>37</v>
      </c>
      <c r="I34" s="2" t="s">
        <v>42</v>
      </c>
      <c r="J34" s="2" t="s">
        <v>45</v>
      </c>
      <c r="K34" s="2" t="s">
        <v>43</v>
      </c>
      <c r="L34" s="2" t="s">
        <v>43</v>
      </c>
      <c r="M34" s="2" t="s">
        <v>39</v>
      </c>
    </row>
    <row r="35" spans="1:13" x14ac:dyDescent="0.35">
      <c r="A35">
        <v>25</v>
      </c>
      <c r="B35" t="str">
        <f t="shared" si="0"/>
        <v>Young Adults</v>
      </c>
      <c r="C35" t="s">
        <v>13</v>
      </c>
      <c r="D35" t="s">
        <v>17</v>
      </c>
      <c r="E35" t="s">
        <v>20</v>
      </c>
      <c r="F35" t="s">
        <v>30</v>
      </c>
      <c r="G35" t="s">
        <v>33</v>
      </c>
      <c r="H35" t="s">
        <v>37</v>
      </c>
      <c r="I35" s="2" t="s">
        <v>45</v>
      </c>
      <c r="J35" s="2" t="s">
        <v>42</v>
      </c>
      <c r="K35" s="2" t="s">
        <v>20</v>
      </c>
      <c r="L35" s="2" t="s">
        <v>18</v>
      </c>
      <c r="M35" s="2" t="s">
        <v>39</v>
      </c>
    </row>
    <row r="36" spans="1:13" x14ac:dyDescent="0.35">
      <c r="A36">
        <v>22</v>
      </c>
      <c r="B36" t="str">
        <f t="shared" si="0"/>
        <v>Young Adults</v>
      </c>
      <c r="C36" t="s">
        <v>12</v>
      </c>
      <c r="D36" t="s">
        <v>14</v>
      </c>
      <c r="E36" t="s">
        <v>18</v>
      </c>
      <c r="F36" t="s">
        <v>30</v>
      </c>
      <c r="G36" t="s">
        <v>34</v>
      </c>
      <c r="H36" t="s">
        <v>38</v>
      </c>
      <c r="I36" s="2" t="s">
        <v>43</v>
      </c>
      <c r="J36" s="2" t="s">
        <v>43</v>
      </c>
      <c r="K36" s="2" t="s">
        <v>43</v>
      </c>
      <c r="L36" s="2" t="s">
        <v>18</v>
      </c>
      <c r="M36" s="2" t="s">
        <v>39</v>
      </c>
    </row>
    <row r="37" spans="1:13" x14ac:dyDescent="0.35">
      <c r="A37">
        <v>45</v>
      </c>
      <c r="B37" t="str">
        <f t="shared" si="0"/>
        <v>Adults</v>
      </c>
      <c r="C37" t="s">
        <v>12</v>
      </c>
      <c r="D37" t="s">
        <v>16</v>
      </c>
      <c r="E37" t="s">
        <v>19</v>
      </c>
      <c r="F37" t="s">
        <v>28</v>
      </c>
      <c r="G37" t="s">
        <v>33</v>
      </c>
      <c r="H37" t="s">
        <v>38</v>
      </c>
      <c r="I37" s="2" t="s">
        <v>18</v>
      </c>
      <c r="J37" s="2" t="s">
        <v>42</v>
      </c>
      <c r="K37" s="2" t="s">
        <v>45</v>
      </c>
      <c r="L37" s="2" t="s">
        <v>20</v>
      </c>
      <c r="M37" s="2" t="s">
        <v>40</v>
      </c>
    </row>
    <row r="38" spans="1:13" x14ac:dyDescent="0.35">
      <c r="A38">
        <v>50</v>
      </c>
      <c r="B38" t="str">
        <f t="shared" si="0"/>
        <v>Adults</v>
      </c>
      <c r="C38" t="s">
        <v>13</v>
      </c>
      <c r="D38" t="s">
        <v>15</v>
      </c>
      <c r="E38" t="s">
        <v>19</v>
      </c>
      <c r="F38" t="s">
        <v>25</v>
      </c>
      <c r="G38" t="s">
        <v>33</v>
      </c>
      <c r="H38" t="s">
        <v>38</v>
      </c>
      <c r="I38" s="2" t="s">
        <v>43</v>
      </c>
      <c r="J38" s="2" t="s">
        <v>42</v>
      </c>
      <c r="K38" s="2" t="s">
        <v>43</v>
      </c>
      <c r="L38" s="2" t="s">
        <v>20</v>
      </c>
      <c r="M38" s="2" t="s">
        <v>40</v>
      </c>
    </row>
    <row r="39" spans="1:13" x14ac:dyDescent="0.35">
      <c r="A39">
        <v>45</v>
      </c>
      <c r="B39" t="str">
        <f t="shared" si="0"/>
        <v>Adults</v>
      </c>
      <c r="C39" t="s">
        <v>13</v>
      </c>
      <c r="D39" t="s">
        <v>16</v>
      </c>
      <c r="E39" t="s">
        <v>20</v>
      </c>
      <c r="F39" t="s">
        <v>29</v>
      </c>
      <c r="G39" t="s">
        <v>33</v>
      </c>
      <c r="H39" t="s">
        <v>38</v>
      </c>
      <c r="I39" s="2" t="s">
        <v>45</v>
      </c>
      <c r="J39" s="2" t="s">
        <v>20</v>
      </c>
      <c r="K39" s="2" t="s">
        <v>42</v>
      </c>
      <c r="L39" s="2" t="s">
        <v>43</v>
      </c>
      <c r="M39" s="2" t="s">
        <v>39</v>
      </c>
    </row>
    <row r="40" spans="1:13" x14ac:dyDescent="0.35">
      <c r="A40">
        <v>18</v>
      </c>
      <c r="B40" t="str">
        <f t="shared" si="0"/>
        <v>Young</v>
      </c>
      <c r="C40" t="s">
        <v>13</v>
      </c>
      <c r="D40" t="s">
        <v>16</v>
      </c>
      <c r="E40" t="s">
        <v>20</v>
      </c>
      <c r="F40" t="s">
        <v>30</v>
      </c>
      <c r="G40" t="s">
        <v>33</v>
      </c>
      <c r="H40" t="s">
        <v>37</v>
      </c>
      <c r="I40" s="2" t="s">
        <v>18</v>
      </c>
      <c r="J40" s="2" t="s">
        <v>20</v>
      </c>
      <c r="K40" s="2" t="s">
        <v>45</v>
      </c>
      <c r="L40" s="2" t="s">
        <v>20</v>
      </c>
      <c r="M40" s="2" t="s">
        <v>40</v>
      </c>
    </row>
    <row r="41" spans="1:13" x14ac:dyDescent="0.35">
      <c r="A41">
        <v>25</v>
      </c>
      <c r="B41" t="str">
        <f t="shared" si="0"/>
        <v>Young Adults</v>
      </c>
      <c r="C41" t="s">
        <v>13</v>
      </c>
      <c r="D41" t="s">
        <v>14</v>
      </c>
      <c r="E41" t="s">
        <v>18</v>
      </c>
      <c r="F41" t="s">
        <v>27</v>
      </c>
      <c r="G41" t="s">
        <v>33</v>
      </c>
      <c r="H41" t="s">
        <v>38</v>
      </c>
      <c r="I41" s="2" t="s">
        <v>18</v>
      </c>
      <c r="J41" s="2" t="s">
        <v>43</v>
      </c>
      <c r="K41" s="2" t="s">
        <v>45</v>
      </c>
      <c r="L41" s="2" t="s">
        <v>18</v>
      </c>
      <c r="M41" s="2" t="s">
        <v>40</v>
      </c>
    </row>
    <row r="42" spans="1:13" x14ac:dyDescent="0.35">
      <c r="A42">
        <v>22</v>
      </c>
      <c r="B42" t="str">
        <f t="shared" si="0"/>
        <v>Young Adults</v>
      </c>
      <c r="C42" t="s">
        <v>13</v>
      </c>
      <c r="D42" t="s">
        <v>16</v>
      </c>
      <c r="E42" t="s">
        <v>20</v>
      </c>
      <c r="F42" t="s">
        <v>22</v>
      </c>
      <c r="G42" t="s">
        <v>33</v>
      </c>
      <c r="H42" t="s">
        <v>37</v>
      </c>
      <c r="I42" s="2" t="s">
        <v>18</v>
      </c>
      <c r="J42" s="2" t="s">
        <v>42</v>
      </c>
      <c r="K42" s="2" t="s">
        <v>45</v>
      </c>
      <c r="L42" s="2" t="s">
        <v>45</v>
      </c>
      <c r="M42" s="2" t="s">
        <v>40</v>
      </c>
    </row>
    <row r="43" spans="1:13" x14ac:dyDescent="0.35">
      <c r="A43">
        <v>35</v>
      </c>
      <c r="B43" t="str">
        <f t="shared" si="0"/>
        <v>Adults</v>
      </c>
      <c r="C43" t="s">
        <v>13</v>
      </c>
      <c r="D43" t="s">
        <v>16</v>
      </c>
      <c r="E43" t="s">
        <v>19</v>
      </c>
      <c r="F43" t="s">
        <v>22</v>
      </c>
      <c r="G43" t="s">
        <v>33</v>
      </c>
      <c r="H43" t="s">
        <v>36</v>
      </c>
      <c r="I43" s="2" t="s">
        <v>43</v>
      </c>
      <c r="J43" s="2" t="s">
        <v>43</v>
      </c>
      <c r="K43" s="2" t="s">
        <v>18</v>
      </c>
      <c r="L43" s="2" t="s">
        <v>20</v>
      </c>
      <c r="M43" s="2" t="s">
        <v>39</v>
      </c>
    </row>
    <row r="44" spans="1:13" x14ac:dyDescent="0.35">
      <c r="A44">
        <v>35</v>
      </c>
      <c r="B44" t="str">
        <f t="shared" si="0"/>
        <v>Adults</v>
      </c>
      <c r="C44" t="s">
        <v>12</v>
      </c>
      <c r="D44" t="s">
        <v>15</v>
      </c>
      <c r="E44" t="s">
        <v>19</v>
      </c>
      <c r="F44" t="s">
        <v>22</v>
      </c>
      <c r="G44" t="s">
        <v>35</v>
      </c>
      <c r="H44" t="s">
        <v>37</v>
      </c>
      <c r="I44" s="2" t="s">
        <v>20</v>
      </c>
      <c r="J44" s="2" t="s">
        <v>45</v>
      </c>
      <c r="K44" s="2" t="s">
        <v>20</v>
      </c>
      <c r="L44" s="2" t="s">
        <v>18</v>
      </c>
      <c r="M44" s="2" t="s">
        <v>39</v>
      </c>
    </row>
    <row r="45" spans="1:13" x14ac:dyDescent="0.35">
      <c r="A45">
        <v>25</v>
      </c>
      <c r="B45" t="str">
        <f t="shared" si="0"/>
        <v>Young Adults</v>
      </c>
      <c r="C45" t="s">
        <v>13</v>
      </c>
      <c r="D45" t="s">
        <v>15</v>
      </c>
      <c r="E45" t="s">
        <v>19</v>
      </c>
      <c r="F45" t="s">
        <v>32</v>
      </c>
      <c r="G45" t="s">
        <v>33</v>
      </c>
      <c r="H45" t="s">
        <v>38</v>
      </c>
      <c r="I45" s="2" t="s">
        <v>20</v>
      </c>
      <c r="J45" s="2" t="s">
        <v>43</v>
      </c>
      <c r="K45" s="2" t="s">
        <v>18</v>
      </c>
      <c r="L45" s="2" t="s">
        <v>18</v>
      </c>
      <c r="M45" s="2" t="s">
        <v>39</v>
      </c>
    </row>
    <row r="46" spans="1:13" x14ac:dyDescent="0.35">
      <c r="A46">
        <v>18</v>
      </c>
      <c r="B46" t="str">
        <f t="shared" si="0"/>
        <v>Young</v>
      </c>
      <c r="C46" t="s">
        <v>13</v>
      </c>
      <c r="D46" t="s">
        <v>14</v>
      </c>
      <c r="E46" t="s">
        <v>19</v>
      </c>
      <c r="F46" t="s">
        <v>30</v>
      </c>
      <c r="G46" t="s">
        <v>33</v>
      </c>
      <c r="H46" t="s">
        <v>36</v>
      </c>
      <c r="I46" s="2" t="s">
        <v>45</v>
      </c>
      <c r="J46" s="2" t="s">
        <v>42</v>
      </c>
      <c r="K46" s="2" t="s">
        <v>18</v>
      </c>
      <c r="L46" s="2" t="s">
        <v>20</v>
      </c>
      <c r="M46" s="2" t="s">
        <v>39</v>
      </c>
    </row>
    <row r="47" spans="1:13" x14ac:dyDescent="0.35">
      <c r="A47">
        <v>40</v>
      </c>
      <c r="B47" t="str">
        <f t="shared" si="0"/>
        <v>Adults</v>
      </c>
      <c r="C47" t="s">
        <v>12</v>
      </c>
      <c r="D47" t="s">
        <v>14</v>
      </c>
      <c r="E47" t="s">
        <v>18</v>
      </c>
      <c r="F47" t="s">
        <v>24</v>
      </c>
      <c r="G47" t="s">
        <v>33</v>
      </c>
      <c r="H47" t="s">
        <v>37</v>
      </c>
      <c r="I47" s="2" t="s">
        <v>18</v>
      </c>
      <c r="J47" s="2" t="s">
        <v>42</v>
      </c>
      <c r="K47" s="2" t="s">
        <v>18</v>
      </c>
      <c r="L47" s="2" t="s">
        <v>43</v>
      </c>
      <c r="M47" s="2" t="s">
        <v>40</v>
      </c>
    </row>
    <row r="48" spans="1:13" x14ac:dyDescent="0.35">
      <c r="A48">
        <v>40</v>
      </c>
      <c r="B48" t="str">
        <f t="shared" si="0"/>
        <v>Adults</v>
      </c>
      <c r="C48" t="s">
        <v>13</v>
      </c>
      <c r="D48" t="s">
        <v>16</v>
      </c>
      <c r="E48" t="s">
        <v>18</v>
      </c>
      <c r="F48" t="s">
        <v>32</v>
      </c>
      <c r="G48" t="s">
        <v>33</v>
      </c>
      <c r="H48" t="s">
        <v>38</v>
      </c>
      <c r="I48" s="2" t="s">
        <v>45</v>
      </c>
      <c r="J48" s="2" t="s">
        <v>18</v>
      </c>
      <c r="K48" s="2" t="s">
        <v>43</v>
      </c>
      <c r="L48" s="2" t="s">
        <v>45</v>
      </c>
      <c r="M48" s="2" t="s">
        <v>39</v>
      </c>
    </row>
    <row r="49" spans="1:13" x14ac:dyDescent="0.35">
      <c r="A49">
        <v>45</v>
      </c>
      <c r="B49" t="str">
        <f t="shared" si="0"/>
        <v>Adults</v>
      </c>
      <c r="C49" t="s">
        <v>12</v>
      </c>
      <c r="D49" t="s">
        <v>16</v>
      </c>
      <c r="E49" t="s">
        <v>19</v>
      </c>
      <c r="F49" t="s">
        <v>30</v>
      </c>
      <c r="G49" t="s">
        <v>33</v>
      </c>
      <c r="H49" t="s">
        <v>38</v>
      </c>
      <c r="I49" s="2" t="s">
        <v>20</v>
      </c>
      <c r="J49" s="2" t="s">
        <v>45</v>
      </c>
      <c r="K49" s="2" t="s">
        <v>42</v>
      </c>
      <c r="L49" s="2" t="s">
        <v>43</v>
      </c>
      <c r="M49" s="2" t="s">
        <v>39</v>
      </c>
    </row>
    <row r="50" spans="1:13" x14ac:dyDescent="0.35">
      <c r="A50">
        <v>45</v>
      </c>
      <c r="B50" t="str">
        <f t="shared" si="0"/>
        <v>Adults</v>
      </c>
      <c r="C50" t="s">
        <v>13</v>
      </c>
      <c r="D50" t="s">
        <v>16</v>
      </c>
      <c r="E50" t="s">
        <v>19</v>
      </c>
      <c r="F50" t="s">
        <v>22</v>
      </c>
      <c r="G50" t="s">
        <v>33</v>
      </c>
      <c r="H50" t="s">
        <v>37</v>
      </c>
      <c r="I50" s="2" t="s">
        <v>42</v>
      </c>
      <c r="J50" s="2" t="s">
        <v>18</v>
      </c>
      <c r="K50" s="2" t="s">
        <v>43</v>
      </c>
      <c r="L50" s="2" t="s">
        <v>18</v>
      </c>
      <c r="M50" s="2" t="s">
        <v>39</v>
      </c>
    </row>
    <row r="51" spans="1:13" x14ac:dyDescent="0.35">
      <c r="A51">
        <v>22</v>
      </c>
      <c r="B51" t="str">
        <f t="shared" si="0"/>
        <v>Young Adults</v>
      </c>
      <c r="C51" t="s">
        <v>13</v>
      </c>
      <c r="D51" t="s">
        <v>15</v>
      </c>
      <c r="E51" t="s">
        <v>18</v>
      </c>
      <c r="F51" t="s">
        <v>32</v>
      </c>
      <c r="G51" t="s">
        <v>34</v>
      </c>
      <c r="H51" t="s">
        <v>38</v>
      </c>
      <c r="I51" s="2" t="s">
        <v>43</v>
      </c>
      <c r="J51" s="2" t="s">
        <v>45</v>
      </c>
      <c r="K51" s="2" t="s">
        <v>43</v>
      </c>
      <c r="L51" s="2" t="s">
        <v>45</v>
      </c>
      <c r="M51" s="2" t="s">
        <v>39</v>
      </c>
    </row>
    <row r="52" spans="1:13" x14ac:dyDescent="0.35">
      <c r="A52">
        <v>22</v>
      </c>
      <c r="B52" t="str">
        <f t="shared" si="0"/>
        <v>Young Adults</v>
      </c>
      <c r="C52" t="s">
        <v>13</v>
      </c>
      <c r="D52" t="s">
        <v>14</v>
      </c>
      <c r="E52" t="s">
        <v>19</v>
      </c>
      <c r="F52" t="s">
        <v>21</v>
      </c>
      <c r="G52" t="s">
        <v>33</v>
      </c>
      <c r="H52" t="s">
        <v>37</v>
      </c>
      <c r="I52" s="2" t="s">
        <v>45</v>
      </c>
      <c r="J52" s="2" t="s">
        <v>20</v>
      </c>
      <c r="K52" s="2" t="s">
        <v>43</v>
      </c>
      <c r="L52" s="2" t="s">
        <v>43</v>
      </c>
      <c r="M52" s="2" t="s">
        <v>40</v>
      </c>
    </row>
    <row r="53" spans="1:13" x14ac:dyDescent="0.35">
      <c r="A53">
        <v>55</v>
      </c>
      <c r="B53" t="str">
        <f t="shared" si="0"/>
        <v>Seniors</v>
      </c>
      <c r="C53" t="s">
        <v>12</v>
      </c>
      <c r="D53" t="s">
        <v>15</v>
      </c>
      <c r="E53" t="s">
        <v>18</v>
      </c>
      <c r="F53" t="s">
        <v>24</v>
      </c>
      <c r="G53" t="s">
        <v>35</v>
      </c>
      <c r="H53" t="s">
        <v>37</v>
      </c>
      <c r="I53" s="2" t="s">
        <v>42</v>
      </c>
      <c r="J53" s="2" t="s">
        <v>43</v>
      </c>
      <c r="K53" s="2" t="s">
        <v>43</v>
      </c>
      <c r="L53" s="2" t="s">
        <v>18</v>
      </c>
      <c r="M53" s="2" t="s">
        <v>39</v>
      </c>
    </row>
    <row r="54" spans="1:13" x14ac:dyDescent="0.35">
      <c r="A54">
        <v>18</v>
      </c>
      <c r="B54" t="str">
        <f t="shared" si="0"/>
        <v>Young</v>
      </c>
      <c r="C54" t="s">
        <v>13</v>
      </c>
      <c r="D54" t="s">
        <v>16</v>
      </c>
      <c r="E54" t="s">
        <v>20</v>
      </c>
      <c r="F54" t="s">
        <v>22</v>
      </c>
      <c r="G54" t="s">
        <v>33</v>
      </c>
      <c r="H54" t="s">
        <v>38</v>
      </c>
      <c r="I54" s="2" t="s">
        <v>43</v>
      </c>
      <c r="J54" s="2" t="s">
        <v>20</v>
      </c>
      <c r="K54" s="2" t="s">
        <v>18</v>
      </c>
      <c r="L54" s="2" t="s">
        <v>20</v>
      </c>
      <c r="M54" s="2" t="s">
        <v>40</v>
      </c>
    </row>
    <row r="55" spans="1:13" x14ac:dyDescent="0.35">
      <c r="A55">
        <v>22</v>
      </c>
      <c r="B55" t="str">
        <f t="shared" si="0"/>
        <v>Young Adults</v>
      </c>
      <c r="C55" t="s">
        <v>12</v>
      </c>
      <c r="D55" t="s">
        <v>14</v>
      </c>
      <c r="E55" t="s">
        <v>19</v>
      </c>
      <c r="F55" t="s">
        <v>24</v>
      </c>
      <c r="G55" t="s">
        <v>34</v>
      </c>
      <c r="H55" t="s">
        <v>37</v>
      </c>
      <c r="I55" s="2" t="s">
        <v>42</v>
      </c>
      <c r="J55" s="2" t="s">
        <v>43</v>
      </c>
      <c r="K55" s="2" t="s">
        <v>43</v>
      </c>
      <c r="L55" s="2" t="s">
        <v>45</v>
      </c>
      <c r="M55" s="2" t="s">
        <v>39</v>
      </c>
    </row>
    <row r="56" spans="1:13" x14ac:dyDescent="0.35">
      <c r="A56">
        <v>30</v>
      </c>
      <c r="B56" t="str">
        <f t="shared" si="0"/>
        <v>Young Adults</v>
      </c>
      <c r="C56" t="s">
        <v>12</v>
      </c>
      <c r="D56" t="s">
        <v>14</v>
      </c>
      <c r="E56" t="s">
        <v>20</v>
      </c>
      <c r="F56" t="s">
        <v>28</v>
      </c>
      <c r="G56" t="s">
        <v>33</v>
      </c>
      <c r="H56" t="s">
        <v>38</v>
      </c>
      <c r="I56" s="2" t="s">
        <v>45</v>
      </c>
      <c r="J56" s="2" t="s">
        <v>20</v>
      </c>
      <c r="K56" s="2" t="s">
        <v>45</v>
      </c>
      <c r="L56" s="2" t="s">
        <v>43</v>
      </c>
      <c r="M56" s="2" t="s">
        <v>40</v>
      </c>
    </row>
    <row r="57" spans="1:13" x14ac:dyDescent="0.35">
      <c r="A57">
        <v>18</v>
      </c>
      <c r="B57" t="str">
        <f t="shared" si="0"/>
        <v>Young</v>
      </c>
      <c r="C57" t="s">
        <v>13</v>
      </c>
      <c r="D57" t="s">
        <v>14</v>
      </c>
      <c r="E57" t="s">
        <v>19</v>
      </c>
      <c r="F57" t="s">
        <v>29</v>
      </c>
      <c r="G57" t="s">
        <v>33</v>
      </c>
      <c r="H57" t="s">
        <v>38</v>
      </c>
      <c r="I57" s="2" t="s">
        <v>45</v>
      </c>
      <c r="J57" s="2" t="s">
        <v>18</v>
      </c>
      <c r="K57" s="2" t="s">
        <v>18</v>
      </c>
      <c r="L57" s="2" t="s">
        <v>43</v>
      </c>
      <c r="M57" s="2" t="s">
        <v>39</v>
      </c>
    </row>
    <row r="58" spans="1:13" x14ac:dyDescent="0.35">
      <c r="A58">
        <v>22</v>
      </c>
      <c r="B58" t="str">
        <f t="shared" si="0"/>
        <v>Young Adults</v>
      </c>
      <c r="C58" t="s">
        <v>13</v>
      </c>
      <c r="D58" t="s">
        <v>14</v>
      </c>
      <c r="E58" t="s">
        <v>19</v>
      </c>
      <c r="F58" t="s">
        <v>30</v>
      </c>
      <c r="G58" t="s">
        <v>34</v>
      </c>
      <c r="H58" t="s">
        <v>37</v>
      </c>
      <c r="I58" s="2" t="s">
        <v>43</v>
      </c>
      <c r="J58" s="2" t="s">
        <v>42</v>
      </c>
      <c r="K58" s="2" t="s">
        <v>42</v>
      </c>
      <c r="L58" s="2" t="s">
        <v>18</v>
      </c>
      <c r="M58" s="2" t="s">
        <v>39</v>
      </c>
    </row>
    <row r="59" spans="1:13" x14ac:dyDescent="0.35">
      <c r="A59">
        <v>22</v>
      </c>
      <c r="B59" t="str">
        <f t="shared" si="0"/>
        <v>Young Adults</v>
      </c>
      <c r="C59" t="s">
        <v>12</v>
      </c>
      <c r="D59" t="s">
        <v>14</v>
      </c>
      <c r="E59" t="s">
        <v>19</v>
      </c>
      <c r="F59" t="s">
        <v>28</v>
      </c>
      <c r="G59" t="s">
        <v>33</v>
      </c>
      <c r="H59" t="s">
        <v>37</v>
      </c>
      <c r="I59" s="2" t="s">
        <v>43</v>
      </c>
      <c r="J59" s="2" t="s">
        <v>45</v>
      </c>
      <c r="K59" s="2" t="s">
        <v>18</v>
      </c>
      <c r="L59" s="2" t="s">
        <v>43</v>
      </c>
      <c r="M59" s="2" t="s">
        <v>39</v>
      </c>
    </row>
    <row r="60" spans="1:13" x14ac:dyDescent="0.35">
      <c r="A60">
        <v>35</v>
      </c>
      <c r="B60" t="str">
        <f t="shared" si="0"/>
        <v>Adults</v>
      </c>
      <c r="C60" t="s">
        <v>12</v>
      </c>
      <c r="D60" t="s">
        <v>15</v>
      </c>
      <c r="E60" t="s">
        <v>20</v>
      </c>
      <c r="F60" t="s">
        <v>29</v>
      </c>
      <c r="G60" t="s">
        <v>33</v>
      </c>
      <c r="H60" t="s">
        <v>38</v>
      </c>
      <c r="I60" s="2" t="s">
        <v>18</v>
      </c>
      <c r="J60" s="2" t="s">
        <v>20</v>
      </c>
      <c r="K60" s="2" t="s">
        <v>42</v>
      </c>
      <c r="L60" s="2" t="s">
        <v>43</v>
      </c>
      <c r="M60" s="2" t="s">
        <v>39</v>
      </c>
    </row>
    <row r="61" spans="1:13" x14ac:dyDescent="0.35">
      <c r="A61">
        <v>35</v>
      </c>
      <c r="B61" t="str">
        <f t="shared" si="0"/>
        <v>Adults</v>
      </c>
      <c r="C61" t="s">
        <v>13</v>
      </c>
      <c r="D61" t="s">
        <v>14</v>
      </c>
      <c r="E61" t="s">
        <v>18</v>
      </c>
      <c r="F61" t="s">
        <v>30</v>
      </c>
      <c r="G61" t="s">
        <v>33</v>
      </c>
      <c r="H61" t="s">
        <v>38</v>
      </c>
      <c r="I61" s="2" t="s">
        <v>18</v>
      </c>
      <c r="J61" s="2" t="s">
        <v>20</v>
      </c>
      <c r="K61" s="2" t="s">
        <v>20</v>
      </c>
      <c r="L61" s="2" t="s">
        <v>43</v>
      </c>
      <c r="M61" s="2" t="s">
        <v>39</v>
      </c>
    </row>
    <row r="62" spans="1:13" x14ac:dyDescent="0.35">
      <c r="A62">
        <v>35</v>
      </c>
      <c r="B62" t="str">
        <f t="shared" si="0"/>
        <v>Adults</v>
      </c>
      <c r="C62" t="s">
        <v>13</v>
      </c>
      <c r="D62" t="s">
        <v>15</v>
      </c>
      <c r="E62" t="s">
        <v>20</v>
      </c>
      <c r="F62" t="s">
        <v>28</v>
      </c>
      <c r="G62" t="s">
        <v>34</v>
      </c>
      <c r="H62" t="s">
        <v>37</v>
      </c>
      <c r="I62" s="2" t="s">
        <v>20</v>
      </c>
      <c r="J62" s="2" t="s">
        <v>18</v>
      </c>
      <c r="K62" s="2" t="s">
        <v>20</v>
      </c>
      <c r="L62" s="2" t="s">
        <v>18</v>
      </c>
      <c r="M62" s="2" t="s">
        <v>39</v>
      </c>
    </row>
    <row r="63" spans="1:13" x14ac:dyDescent="0.35">
      <c r="A63">
        <v>22</v>
      </c>
      <c r="B63" t="str">
        <f t="shared" si="0"/>
        <v>Young Adults</v>
      </c>
      <c r="C63" t="s">
        <v>13</v>
      </c>
      <c r="D63" t="s">
        <v>14</v>
      </c>
      <c r="E63" t="s">
        <v>20</v>
      </c>
      <c r="F63" t="s">
        <v>24</v>
      </c>
      <c r="G63" t="s">
        <v>34</v>
      </c>
      <c r="H63" t="s">
        <v>37</v>
      </c>
      <c r="I63" s="2" t="s">
        <v>20</v>
      </c>
      <c r="J63" s="2" t="s">
        <v>18</v>
      </c>
      <c r="K63" s="2" t="s">
        <v>43</v>
      </c>
      <c r="L63" s="2" t="s">
        <v>45</v>
      </c>
      <c r="M63" s="2" t="s">
        <v>39</v>
      </c>
    </row>
    <row r="64" spans="1:13" x14ac:dyDescent="0.35">
      <c r="A64">
        <v>22</v>
      </c>
      <c r="B64" t="str">
        <f t="shared" si="0"/>
        <v>Young Adults</v>
      </c>
      <c r="C64" t="s">
        <v>13</v>
      </c>
      <c r="D64" t="s">
        <v>16</v>
      </c>
      <c r="E64" t="s">
        <v>19</v>
      </c>
      <c r="F64" t="s">
        <v>29</v>
      </c>
      <c r="G64" t="s">
        <v>33</v>
      </c>
      <c r="H64" t="s">
        <v>38</v>
      </c>
      <c r="I64" s="2" t="s">
        <v>43</v>
      </c>
      <c r="J64" s="2" t="s">
        <v>43</v>
      </c>
      <c r="K64" s="2" t="s">
        <v>43</v>
      </c>
      <c r="L64" s="2" t="s">
        <v>18</v>
      </c>
      <c r="M64" s="2" t="s">
        <v>40</v>
      </c>
    </row>
    <row r="65" spans="1:13" x14ac:dyDescent="0.35">
      <c r="A65">
        <v>22</v>
      </c>
      <c r="B65" t="str">
        <f t="shared" si="0"/>
        <v>Young Adults</v>
      </c>
      <c r="C65" t="s">
        <v>12</v>
      </c>
      <c r="D65" t="s">
        <v>15</v>
      </c>
      <c r="E65" t="s">
        <v>18</v>
      </c>
      <c r="F65" t="s">
        <v>22</v>
      </c>
      <c r="G65" t="s">
        <v>33</v>
      </c>
      <c r="H65" t="s">
        <v>38</v>
      </c>
      <c r="I65" s="2" t="s">
        <v>18</v>
      </c>
      <c r="J65" s="2" t="s">
        <v>18</v>
      </c>
      <c r="K65" s="2" t="s">
        <v>18</v>
      </c>
      <c r="L65" s="2" t="s">
        <v>42</v>
      </c>
      <c r="M65" s="2" t="s">
        <v>39</v>
      </c>
    </row>
    <row r="66" spans="1:13" x14ac:dyDescent="0.35">
      <c r="A66">
        <v>30</v>
      </c>
      <c r="B66" t="str">
        <f t="shared" si="0"/>
        <v>Young Adults</v>
      </c>
      <c r="C66" t="s">
        <v>12</v>
      </c>
      <c r="D66" t="s">
        <v>14</v>
      </c>
      <c r="E66" t="s">
        <v>19</v>
      </c>
      <c r="F66" t="s">
        <v>24</v>
      </c>
      <c r="G66" t="s">
        <v>33</v>
      </c>
      <c r="H66" t="s">
        <v>37</v>
      </c>
      <c r="I66" s="2" t="s">
        <v>42</v>
      </c>
      <c r="J66" s="2" t="s">
        <v>18</v>
      </c>
      <c r="K66" s="2" t="s">
        <v>18</v>
      </c>
      <c r="L66" s="2" t="s">
        <v>45</v>
      </c>
      <c r="M66" s="2" t="s">
        <v>39</v>
      </c>
    </row>
    <row r="67" spans="1:13" x14ac:dyDescent="0.35">
      <c r="A67">
        <v>45</v>
      </c>
      <c r="B67" t="str">
        <f t="shared" ref="B67:B130" si="1">IF(A:A&gt;=55,"Seniors",IF(A:A&gt;=35,"Adults",IF(A:A&gt;=20,"Young Adults",IF(A:A&gt;=18,"Young"))))</f>
        <v>Adults</v>
      </c>
      <c r="C67" t="s">
        <v>13</v>
      </c>
      <c r="D67" t="s">
        <v>16</v>
      </c>
      <c r="E67" t="s">
        <v>18</v>
      </c>
      <c r="F67" t="s">
        <v>29</v>
      </c>
      <c r="G67" t="s">
        <v>33</v>
      </c>
      <c r="H67" t="s">
        <v>37</v>
      </c>
      <c r="I67" s="2" t="s">
        <v>20</v>
      </c>
      <c r="J67" s="2" t="s">
        <v>43</v>
      </c>
      <c r="K67" s="2" t="s">
        <v>18</v>
      </c>
      <c r="L67" s="2" t="s">
        <v>20</v>
      </c>
      <c r="M67" s="2" t="s">
        <v>39</v>
      </c>
    </row>
    <row r="68" spans="1:13" x14ac:dyDescent="0.35">
      <c r="A68">
        <v>50</v>
      </c>
      <c r="B68" t="str">
        <f t="shared" si="1"/>
        <v>Adults</v>
      </c>
      <c r="C68" t="s">
        <v>13</v>
      </c>
      <c r="D68" t="s">
        <v>14</v>
      </c>
      <c r="E68" t="s">
        <v>19</v>
      </c>
      <c r="F68" t="s">
        <v>26</v>
      </c>
      <c r="G68" t="s">
        <v>33</v>
      </c>
      <c r="H68" t="s">
        <v>37</v>
      </c>
      <c r="I68" s="2" t="s">
        <v>18</v>
      </c>
      <c r="J68" s="2" t="s">
        <v>42</v>
      </c>
      <c r="K68" s="2" t="s">
        <v>18</v>
      </c>
      <c r="L68" s="2" t="s">
        <v>42</v>
      </c>
      <c r="M68" s="2" t="s">
        <v>40</v>
      </c>
    </row>
    <row r="69" spans="1:13" x14ac:dyDescent="0.35">
      <c r="A69">
        <v>18</v>
      </c>
      <c r="B69" t="str">
        <f t="shared" si="1"/>
        <v>Young</v>
      </c>
      <c r="C69" t="s">
        <v>12</v>
      </c>
      <c r="D69" t="s">
        <v>14</v>
      </c>
      <c r="E69" t="s">
        <v>19</v>
      </c>
      <c r="F69" t="s">
        <v>26</v>
      </c>
      <c r="G69" t="s">
        <v>33</v>
      </c>
      <c r="H69" t="s">
        <v>38</v>
      </c>
      <c r="I69" s="2" t="s">
        <v>43</v>
      </c>
      <c r="J69" s="2" t="s">
        <v>45</v>
      </c>
      <c r="K69" s="2" t="s">
        <v>45</v>
      </c>
      <c r="L69" s="2" t="s">
        <v>20</v>
      </c>
      <c r="M69" s="2" t="s">
        <v>39</v>
      </c>
    </row>
    <row r="70" spans="1:13" x14ac:dyDescent="0.35">
      <c r="A70">
        <v>25</v>
      </c>
      <c r="B70" t="str">
        <f t="shared" si="1"/>
        <v>Young Adults</v>
      </c>
      <c r="C70" t="s">
        <v>13</v>
      </c>
      <c r="D70" t="s">
        <v>14</v>
      </c>
      <c r="E70" t="s">
        <v>18</v>
      </c>
      <c r="F70" t="s">
        <v>21</v>
      </c>
      <c r="G70" t="s">
        <v>33</v>
      </c>
      <c r="H70" t="s">
        <v>38</v>
      </c>
      <c r="I70" s="2" t="s">
        <v>20</v>
      </c>
      <c r="J70" s="2" t="s">
        <v>43</v>
      </c>
      <c r="K70" s="2" t="s">
        <v>20</v>
      </c>
      <c r="L70" s="2" t="s">
        <v>18</v>
      </c>
      <c r="M70" s="2" t="s">
        <v>39</v>
      </c>
    </row>
    <row r="71" spans="1:13" x14ac:dyDescent="0.35">
      <c r="A71">
        <v>25</v>
      </c>
      <c r="B71" t="str">
        <f t="shared" si="1"/>
        <v>Young Adults</v>
      </c>
      <c r="C71" t="s">
        <v>13</v>
      </c>
      <c r="D71" t="s">
        <v>15</v>
      </c>
      <c r="E71" t="s">
        <v>19</v>
      </c>
      <c r="F71" t="s">
        <v>32</v>
      </c>
      <c r="G71" t="s">
        <v>33</v>
      </c>
      <c r="H71" t="s">
        <v>38</v>
      </c>
      <c r="I71" s="2" t="s">
        <v>18</v>
      </c>
      <c r="J71" s="2" t="s">
        <v>18</v>
      </c>
      <c r="K71" s="2" t="s">
        <v>45</v>
      </c>
      <c r="L71" s="2" t="s">
        <v>20</v>
      </c>
      <c r="M71" s="2" t="s">
        <v>39</v>
      </c>
    </row>
    <row r="72" spans="1:13" x14ac:dyDescent="0.35">
      <c r="A72">
        <v>18</v>
      </c>
      <c r="B72" t="str">
        <f t="shared" si="1"/>
        <v>Young</v>
      </c>
      <c r="C72" t="s">
        <v>13</v>
      </c>
      <c r="D72" t="s">
        <v>14</v>
      </c>
      <c r="E72" t="s">
        <v>18</v>
      </c>
      <c r="F72" t="s">
        <v>30</v>
      </c>
      <c r="G72" t="s">
        <v>33</v>
      </c>
      <c r="H72" t="s">
        <v>36</v>
      </c>
      <c r="I72" s="2" t="s">
        <v>45</v>
      </c>
      <c r="J72" s="2" t="s">
        <v>43</v>
      </c>
      <c r="K72" s="2" t="s">
        <v>18</v>
      </c>
      <c r="L72" s="2" t="s">
        <v>45</v>
      </c>
      <c r="M72" s="2" t="s">
        <v>39</v>
      </c>
    </row>
    <row r="73" spans="1:13" x14ac:dyDescent="0.35">
      <c r="A73">
        <v>25</v>
      </c>
      <c r="B73" t="str">
        <f t="shared" si="1"/>
        <v>Young Adults</v>
      </c>
      <c r="C73" t="s">
        <v>13</v>
      </c>
      <c r="D73" t="s">
        <v>15</v>
      </c>
      <c r="E73" t="s">
        <v>19</v>
      </c>
      <c r="F73" t="s">
        <v>27</v>
      </c>
      <c r="G73" t="s">
        <v>33</v>
      </c>
      <c r="H73" t="s">
        <v>38</v>
      </c>
      <c r="I73" s="2" t="s">
        <v>43</v>
      </c>
      <c r="J73" s="2" t="s">
        <v>20</v>
      </c>
      <c r="K73" s="2" t="s">
        <v>18</v>
      </c>
      <c r="L73" s="2" t="s">
        <v>18</v>
      </c>
      <c r="M73" s="2" t="s">
        <v>40</v>
      </c>
    </row>
    <row r="74" spans="1:13" x14ac:dyDescent="0.35">
      <c r="A74">
        <v>30</v>
      </c>
      <c r="B74" t="str">
        <f t="shared" si="1"/>
        <v>Young Adults</v>
      </c>
      <c r="C74" t="s">
        <v>13</v>
      </c>
      <c r="D74" t="s">
        <v>17</v>
      </c>
      <c r="E74" t="s">
        <v>18</v>
      </c>
      <c r="F74" t="s">
        <v>25</v>
      </c>
      <c r="G74" t="s">
        <v>35</v>
      </c>
      <c r="H74" t="s">
        <v>38</v>
      </c>
      <c r="I74" s="2" t="s">
        <v>43</v>
      </c>
      <c r="J74" s="2" t="s">
        <v>20</v>
      </c>
      <c r="K74" s="2" t="s">
        <v>43</v>
      </c>
      <c r="L74" s="2" t="s">
        <v>43</v>
      </c>
      <c r="M74" s="2" t="s">
        <v>39</v>
      </c>
    </row>
    <row r="75" spans="1:13" x14ac:dyDescent="0.35">
      <c r="A75">
        <v>25</v>
      </c>
      <c r="B75" t="str">
        <f t="shared" si="1"/>
        <v>Young Adults</v>
      </c>
      <c r="C75" t="s">
        <v>13</v>
      </c>
      <c r="D75" t="s">
        <v>16</v>
      </c>
      <c r="E75" t="s">
        <v>18</v>
      </c>
      <c r="F75" t="s">
        <v>26</v>
      </c>
      <c r="G75" t="s">
        <v>33</v>
      </c>
      <c r="H75" t="s">
        <v>36</v>
      </c>
      <c r="I75" s="2" t="s">
        <v>43</v>
      </c>
      <c r="J75" s="2" t="s">
        <v>42</v>
      </c>
      <c r="K75" s="2" t="s">
        <v>20</v>
      </c>
      <c r="L75" s="2" t="s">
        <v>43</v>
      </c>
      <c r="M75" s="2" t="s">
        <v>39</v>
      </c>
    </row>
    <row r="76" spans="1:13" x14ac:dyDescent="0.35">
      <c r="A76">
        <v>18</v>
      </c>
      <c r="B76" t="str">
        <f t="shared" si="1"/>
        <v>Young</v>
      </c>
      <c r="C76" t="s">
        <v>12</v>
      </c>
      <c r="D76" t="s">
        <v>14</v>
      </c>
      <c r="E76" t="s">
        <v>19</v>
      </c>
      <c r="F76" t="s">
        <v>22</v>
      </c>
      <c r="G76" t="s">
        <v>33</v>
      </c>
      <c r="H76" t="s">
        <v>38</v>
      </c>
      <c r="I76" s="2" t="s">
        <v>18</v>
      </c>
      <c r="J76" s="2" t="s">
        <v>43</v>
      </c>
      <c r="K76" s="2" t="s">
        <v>42</v>
      </c>
      <c r="L76" s="2" t="s">
        <v>18</v>
      </c>
      <c r="M76" s="2" t="s">
        <v>39</v>
      </c>
    </row>
    <row r="77" spans="1:13" x14ac:dyDescent="0.35">
      <c r="A77">
        <v>25</v>
      </c>
      <c r="B77" t="str">
        <f t="shared" si="1"/>
        <v>Young Adults</v>
      </c>
      <c r="C77" t="s">
        <v>13</v>
      </c>
      <c r="D77" t="s">
        <v>14</v>
      </c>
      <c r="E77" t="s">
        <v>19</v>
      </c>
      <c r="F77" t="s">
        <v>28</v>
      </c>
      <c r="G77" t="s">
        <v>33</v>
      </c>
      <c r="H77" t="s">
        <v>37</v>
      </c>
      <c r="I77" s="2" t="s">
        <v>43</v>
      </c>
      <c r="J77" s="2" t="s">
        <v>43</v>
      </c>
      <c r="K77" s="2" t="s">
        <v>45</v>
      </c>
      <c r="L77" s="2" t="s">
        <v>20</v>
      </c>
      <c r="M77" s="2" t="s">
        <v>40</v>
      </c>
    </row>
    <row r="78" spans="1:13" x14ac:dyDescent="0.35">
      <c r="A78">
        <v>30</v>
      </c>
      <c r="B78" t="str">
        <f t="shared" si="1"/>
        <v>Young Adults</v>
      </c>
      <c r="C78" t="s">
        <v>13</v>
      </c>
      <c r="D78" t="s">
        <v>14</v>
      </c>
      <c r="E78" t="s">
        <v>19</v>
      </c>
      <c r="F78" t="s">
        <v>31</v>
      </c>
      <c r="G78" t="s">
        <v>33</v>
      </c>
      <c r="H78" t="s">
        <v>38</v>
      </c>
      <c r="I78" s="2" t="s">
        <v>45</v>
      </c>
      <c r="J78" s="2" t="s">
        <v>43</v>
      </c>
      <c r="K78" s="2" t="s">
        <v>20</v>
      </c>
      <c r="L78" s="2" t="s">
        <v>20</v>
      </c>
      <c r="M78" s="2" t="s">
        <v>39</v>
      </c>
    </row>
    <row r="79" spans="1:13" x14ac:dyDescent="0.35">
      <c r="A79">
        <v>30</v>
      </c>
      <c r="B79" t="str">
        <f t="shared" si="1"/>
        <v>Young Adults</v>
      </c>
      <c r="C79" t="s">
        <v>13</v>
      </c>
      <c r="D79" t="s">
        <v>16</v>
      </c>
      <c r="E79" t="s">
        <v>18</v>
      </c>
      <c r="F79" t="s">
        <v>27</v>
      </c>
      <c r="G79" t="s">
        <v>33</v>
      </c>
      <c r="H79" t="s">
        <v>38</v>
      </c>
      <c r="I79" s="2" t="s">
        <v>43</v>
      </c>
      <c r="J79" s="2" t="s">
        <v>43</v>
      </c>
      <c r="K79" s="2" t="s">
        <v>45</v>
      </c>
      <c r="L79" s="2" t="s">
        <v>20</v>
      </c>
      <c r="M79" s="2" t="s">
        <v>40</v>
      </c>
    </row>
    <row r="80" spans="1:13" x14ac:dyDescent="0.35">
      <c r="A80">
        <v>55</v>
      </c>
      <c r="B80" t="str">
        <f t="shared" si="1"/>
        <v>Seniors</v>
      </c>
      <c r="C80" t="s">
        <v>12</v>
      </c>
      <c r="D80" t="s">
        <v>14</v>
      </c>
      <c r="E80" t="s">
        <v>20</v>
      </c>
      <c r="F80" t="s">
        <v>23</v>
      </c>
      <c r="G80" t="s">
        <v>33</v>
      </c>
      <c r="H80" t="s">
        <v>38</v>
      </c>
      <c r="I80" s="2" t="s">
        <v>43</v>
      </c>
      <c r="J80" s="2" t="s">
        <v>18</v>
      </c>
      <c r="K80" s="2" t="s">
        <v>43</v>
      </c>
      <c r="L80" s="2" t="s">
        <v>20</v>
      </c>
      <c r="M80" s="2" t="s">
        <v>39</v>
      </c>
    </row>
    <row r="81" spans="1:13" x14ac:dyDescent="0.35">
      <c r="A81">
        <v>40</v>
      </c>
      <c r="B81" t="str">
        <f t="shared" si="1"/>
        <v>Adults</v>
      </c>
      <c r="C81" t="s">
        <v>13</v>
      </c>
      <c r="D81" t="s">
        <v>14</v>
      </c>
      <c r="E81" t="s">
        <v>18</v>
      </c>
      <c r="F81" t="s">
        <v>25</v>
      </c>
      <c r="G81" t="s">
        <v>33</v>
      </c>
      <c r="H81" t="s">
        <v>38</v>
      </c>
      <c r="I81" s="2" t="s">
        <v>42</v>
      </c>
      <c r="J81" s="2" t="s">
        <v>43</v>
      </c>
      <c r="K81" s="2" t="s">
        <v>18</v>
      </c>
      <c r="L81" s="2" t="s">
        <v>20</v>
      </c>
      <c r="M81" s="2" t="s">
        <v>39</v>
      </c>
    </row>
    <row r="82" spans="1:13" x14ac:dyDescent="0.35">
      <c r="A82">
        <v>50</v>
      </c>
      <c r="B82" t="str">
        <f t="shared" si="1"/>
        <v>Adults</v>
      </c>
      <c r="C82" t="s">
        <v>12</v>
      </c>
      <c r="D82" t="s">
        <v>15</v>
      </c>
      <c r="E82" t="s">
        <v>19</v>
      </c>
      <c r="F82" t="s">
        <v>28</v>
      </c>
      <c r="G82" t="s">
        <v>35</v>
      </c>
      <c r="H82" t="s">
        <v>37</v>
      </c>
      <c r="I82" s="2" t="s">
        <v>42</v>
      </c>
      <c r="J82" s="2" t="s">
        <v>45</v>
      </c>
      <c r="K82" s="2" t="s">
        <v>42</v>
      </c>
      <c r="L82" s="2" t="s">
        <v>18</v>
      </c>
      <c r="M82" s="2" t="s">
        <v>39</v>
      </c>
    </row>
    <row r="83" spans="1:13" x14ac:dyDescent="0.35">
      <c r="A83">
        <v>25</v>
      </c>
      <c r="B83" t="str">
        <f t="shared" si="1"/>
        <v>Young Adults</v>
      </c>
      <c r="C83" t="s">
        <v>12</v>
      </c>
      <c r="D83" t="s">
        <v>17</v>
      </c>
      <c r="E83" t="s">
        <v>18</v>
      </c>
      <c r="F83" t="s">
        <v>22</v>
      </c>
      <c r="G83" t="s">
        <v>33</v>
      </c>
      <c r="H83" t="s">
        <v>38</v>
      </c>
      <c r="I83" s="2" t="s">
        <v>43</v>
      </c>
      <c r="J83" s="2" t="s">
        <v>20</v>
      </c>
      <c r="K83" s="2" t="s">
        <v>45</v>
      </c>
      <c r="L83" s="2" t="s">
        <v>20</v>
      </c>
      <c r="M83" s="2" t="s">
        <v>40</v>
      </c>
    </row>
    <row r="84" spans="1:13" x14ac:dyDescent="0.35">
      <c r="A84">
        <v>40</v>
      </c>
      <c r="B84" t="str">
        <f t="shared" si="1"/>
        <v>Adults</v>
      </c>
      <c r="C84" t="s">
        <v>12</v>
      </c>
      <c r="D84" t="s">
        <v>16</v>
      </c>
      <c r="E84" t="s">
        <v>18</v>
      </c>
      <c r="F84" t="s">
        <v>32</v>
      </c>
      <c r="G84" t="s">
        <v>34</v>
      </c>
      <c r="H84" t="s">
        <v>37</v>
      </c>
      <c r="I84" s="2" t="s">
        <v>42</v>
      </c>
      <c r="J84" s="2" t="s">
        <v>43</v>
      </c>
      <c r="K84" s="2" t="s">
        <v>43</v>
      </c>
      <c r="L84" s="2" t="s">
        <v>20</v>
      </c>
      <c r="M84" s="2" t="s">
        <v>39</v>
      </c>
    </row>
    <row r="85" spans="1:13" x14ac:dyDescent="0.35">
      <c r="A85">
        <v>35</v>
      </c>
      <c r="B85" t="str">
        <f t="shared" si="1"/>
        <v>Adults</v>
      </c>
      <c r="C85" t="s">
        <v>12</v>
      </c>
      <c r="D85" t="s">
        <v>15</v>
      </c>
      <c r="E85" t="s">
        <v>19</v>
      </c>
      <c r="F85" t="s">
        <v>32</v>
      </c>
      <c r="G85" t="s">
        <v>34</v>
      </c>
      <c r="H85" t="s">
        <v>38</v>
      </c>
      <c r="I85" s="2" t="s">
        <v>42</v>
      </c>
      <c r="J85" s="2" t="s">
        <v>43</v>
      </c>
      <c r="K85" s="2" t="s">
        <v>43</v>
      </c>
      <c r="L85" s="2" t="s">
        <v>20</v>
      </c>
      <c r="M85" s="2" t="s">
        <v>39</v>
      </c>
    </row>
    <row r="86" spans="1:13" x14ac:dyDescent="0.35">
      <c r="A86">
        <v>60</v>
      </c>
      <c r="B86" t="str">
        <f t="shared" si="1"/>
        <v>Seniors</v>
      </c>
      <c r="C86" t="s">
        <v>13</v>
      </c>
      <c r="D86" t="s">
        <v>16</v>
      </c>
      <c r="E86" t="s">
        <v>19</v>
      </c>
      <c r="F86" t="s">
        <v>25</v>
      </c>
      <c r="G86" t="s">
        <v>33</v>
      </c>
      <c r="H86" t="s">
        <v>36</v>
      </c>
      <c r="I86" s="2" t="s">
        <v>43</v>
      </c>
      <c r="J86" s="2" t="s">
        <v>20</v>
      </c>
      <c r="K86" s="2" t="s">
        <v>45</v>
      </c>
      <c r="L86" s="2" t="s">
        <v>18</v>
      </c>
      <c r="M86" s="2" t="s">
        <v>39</v>
      </c>
    </row>
    <row r="87" spans="1:13" x14ac:dyDescent="0.35">
      <c r="A87">
        <v>55</v>
      </c>
      <c r="B87" t="str">
        <f t="shared" si="1"/>
        <v>Seniors</v>
      </c>
      <c r="C87" t="s">
        <v>12</v>
      </c>
      <c r="D87" t="s">
        <v>14</v>
      </c>
      <c r="E87" t="s">
        <v>20</v>
      </c>
      <c r="F87" t="s">
        <v>24</v>
      </c>
      <c r="G87" t="s">
        <v>33</v>
      </c>
      <c r="H87" t="s">
        <v>38</v>
      </c>
      <c r="I87" s="2" t="s">
        <v>45</v>
      </c>
      <c r="J87" s="2" t="s">
        <v>42</v>
      </c>
      <c r="K87" s="2" t="s">
        <v>45</v>
      </c>
      <c r="L87" s="2" t="s">
        <v>43</v>
      </c>
      <c r="M87" s="2" t="s">
        <v>40</v>
      </c>
    </row>
    <row r="88" spans="1:13" x14ac:dyDescent="0.35">
      <c r="A88">
        <v>22</v>
      </c>
      <c r="B88" t="str">
        <f t="shared" si="1"/>
        <v>Young Adults</v>
      </c>
      <c r="C88" t="s">
        <v>12</v>
      </c>
      <c r="D88" t="s">
        <v>15</v>
      </c>
      <c r="E88" t="s">
        <v>19</v>
      </c>
      <c r="F88" t="s">
        <v>24</v>
      </c>
      <c r="G88" t="s">
        <v>33</v>
      </c>
      <c r="H88" t="s">
        <v>38</v>
      </c>
      <c r="I88" s="2" t="s">
        <v>43</v>
      </c>
      <c r="J88" s="2" t="s">
        <v>42</v>
      </c>
      <c r="K88" s="2" t="s">
        <v>45</v>
      </c>
      <c r="L88" s="2" t="s">
        <v>20</v>
      </c>
      <c r="M88" s="2" t="s">
        <v>40</v>
      </c>
    </row>
    <row r="89" spans="1:13" x14ac:dyDescent="0.35">
      <c r="A89">
        <v>18</v>
      </c>
      <c r="B89" t="str">
        <f t="shared" si="1"/>
        <v>Young</v>
      </c>
      <c r="C89" t="s">
        <v>13</v>
      </c>
      <c r="D89" t="s">
        <v>16</v>
      </c>
      <c r="E89" t="s">
        <v>20</v>
      </c>
      <c r="F89" t="s">
        <v>22</v>
      </c>
      <c r="G89" t="s">
        <v>33</v>
      </c>
      <c r="H89" t="s">
        <v>36</v>
      </c>
      <c r="I89" s="2" t="s">
        <v>18</v>
      </c>
      <c r="J89" s="2" t="s">
        <v>20</v>
      </c>
      <c r="K89" s="2" t="s">
        <v>42</v>
      </c>
      <c r="L89" s="2" t="s">
        <v>43</v>
      </c>
      <c r="M89" s="2" t="s">
        <v>39</v>
      </c>
    </row>
    <row r="90" spans="1:13" x14ac:dyDescent="0.35">
      <c r="A90">
        <v>40</v>
      </c>
      <c r="B90" t="str">
        <f t="shared" si="1"/>
        <v>Adults</v>
      </c>
      <c r="C90" t="s">
        <v>12</v>
      </c>
      <c r="D90" t="s">
        <v>15</v>
      </c>
      <c r="E90" t="s">
        <v>19</v>
      </c>
      <c r="F90" t="s">
        <v>30</v>
      </c>
      <c r="G90" t="s">
        <v>33</v>
      </c>
      <c r="H90" t="s">
        <v>36</v>
      </c>
      <c r="I90" s="2" t="s">
        <v>45</v>
      </c>
      <c r="J90" s="2" t="s">
        <v>45</v>
      </c>
      <c r="K90" s="2" t="s">
        <v>45</v>
      </c>
      <c r="L90" s="2" t="s">
        <v>45</v>
      </c>
      <c r="M90" s="2" t="s">
        <v>39</v>
      </c>
    </row>
    <row r="91" spans="1:13" x14ac:dyDescent="0.35">
      <c r="A91">
        <v>22</v>
      </c>
      <c r="B91" t="str">
        <f t="shared" si="1"/>
        <v>Young Adults</v>
      </c>
      <c r="C91" t="s">
        <v>12</v>
      </c>
      <c r="D91" t="s">
        <v>15</v>
      </c>
      <c r="E91" t="s">
        <v>19</v>
      </c>
      <c r="F91" t="s">
        <v>21</v>
      </c>
      <c r="G91" t="s">
        <v>33</v>
      </c>
      <c r="H91" t="s">
        <v>37</v>
      </c>
      <c r="I91" s="2" t="s">
        <v>18</v>
      </c>
      <c r="J91" s="2" t="s">
        <v>20</v>
      </c>
      <c r="K91" s="2" t="s">
        <v>45</v>
      </c>
      <c r="L91" s="2" t="s">
        <v>43</v>
      </c>
      <c r="M91" s="2" t="s">
        <v>40</v>
      </c>
    </row>
    <row r="92" spans="1:13" x14ac:dyDescent="0.35">
      <c r="A92">
        <v>60</v>
      </c>
      <c r="B92" t="str">
        <f t="shared" si="1"/>
        <v>Seniors</v>
      </c>
      <c r="C92" t="s">
        <v>13</v>
      </c>
      <c r="D92" t="s">
        <v>14</v>
      </c>
      <c r="E92" t="s">
        <v>19</v>
      </c>
      <c r="F92" t="s">
        <v>22</v>
      </c>
      <c r="G92" t="s">
        <v>33</v>
      </c>
      <c r="H92" t="s">
        <v>38</v>
      </c>
      <c r="I92" s="2" t="s">
        <v>45</v>
      </c>
      <c r="J92" s="2" t="s">
        <v>18</v>
      </c>
      <c r="K92" s="2" t="s">
        <v>18</v>
      </c>
      <c r="L92" s="2" t="s">
        <v>45</v>
      </c>
      <c r="M92" s="2" t="s">
        <v>39</v>
      </c>
    </row>
    <row r="93" spans="1:13" x14ac:dyDescent="0.35">
      <c r="A93">
        <v>22</v>
      </c>
      <c r="B93" t="str">
        <f t="shared" si="1"/>
        <v>Young Adults</v>
      </c>
      <c r="C93" t="s">
        <v>12</v>
      </c>
      <c r="D93" t="s">
        <v>14</v>
      </c>
      <c r="E93" t="s">
        <v>19</v>
      </c>
      <c r="F93" t="s">
        <v>21</v>
      </c>
      <c r="G93" t="s">
        <v>33</v>
      </c>
      <c r="H93" t="s">
        <v>36</v>
      </c>
      <c r="I93" s="2" t="s">
        <v>45</v>
      </c>
      <c r="J93" s="2" t="s">
        <v>20</v>
      </c>
      <c r="K93" s="2" t="s">
        <v>45</v>
      </c>
      <c r="L93" s="2" t="s">
        <v>43</v>
      </c>
      <c r="M93" s="2" t="s">
        <v>39</v>
      </c>
    </row>
    <row r="94" spans="1:13" x14ac:dyDescent="0.35">
      <c r="A94">
        <v>40</v>
      </c>
      <c r="B94" t="str">
        <f t="shared" si="1"/>
        <v>Adults</v>
      </c>
      <c r="C94" t="s">
        <v>13</v>
      </c>
      <c r="D94" t="s">
        <v>14</v>
      </c>
      <c r="E94" t="s">
        <v>18</v>
      </c>
      <c r="F94" t="s">
        <v>31</v>
      </c>
      <c r="G94" t="s">
        <v>34</v>
      </c>
      <c r="H94" t="s">
        <v>37</v>
      </c>
      <c r="I94" s="2" t="s">
        <v>20</v>
      </c>
      <c r="J94" s="2" t="s">
        <v>43</v>
      </c>
      <c r="K94" s="2" t="s">
        <v>42</v>
      </c>
      <c r="L94" s="2" t="s">
        <v>42</v>
      </c>
      <c r="M94" s="2" t="s">
        <v>39</v>
      </c>
    </row>
    <row r="95" spans="1:13" x14ac:dyDescent="0.35">
      <c r="A95">
        <v>60</v>
      </c>
      <c r="B95" t="str">
        <f t="shared" si="1"/>
        <v>Seniors</v>
      </c>
      <c r="C95" t="s">
        <v>13</v>
      </c>
      <c r="D95" t="s">
        <v>15</v>
      </c>
      <c r="E95" t="s">
        <v>19</v>
      </c>
      <c r="F95" t="s">
        <v>22</v>
      </c>
      <c r="G95" t="s">
        <v>34</v>
      </c>
      <c r="H95" t="s">
        <v>38</v>
      </c>
      <c r="I95" s="2" t="s">
        <v>42</v>
      </c>
      <c r="J95" s="2" t="s">
        <v>18</v>
      </c>
      <c r="K95" s="2" t="s">
        <v>20</v>
      </c>
      <c r="L95" s="2" t="s">
        <v>18</v>
      </c>
      <c r="M95" s="2" t="s">
        <v>39</v>
      </c>
    </row>
    <row r="96" spans="1:13" x14ac:dyDescent="0.35">
      <c r="A96">
        <v>45</v>
      </c>
      <c r="B96" t="str">
        <f t="shared" si="1"/>
        <v>Adults</v>
      </c>
      <c r="C96" t="s">
        <v>13</v>
      </c>
      <c r="D96" t="s">
        <v>15</v>
      </c>
      <c r="E96" t="s">
        <v>20</v>
      </c>
      <c r="F96" t="s">
        <v>27</v>
      </c>
      <c r="G96" t="s">
        <v>34</v>
      </c>
      <c r="H96" t="s">
        <v>38</v>
      </c>
      <c r="I96" s="2" t="s">
        <v>20</v>
      </c>
      <c r="J96" s="2" t="s">
        <v>18</v>
      </c>
      <c r="K96" s="2" t="s">
        <v>42</v>
      </c>
      <c r="L96" s="2" t="s">
        <v>18</v>
      </c>
      <c r="M96" s="2" t="s">
        <v>39</v>
      </c>
    </row>
    <row r="97" spans="1:13" x14ac:dyDescent="0.35">
      <c r="A97">
        <v>25</v>
      </c>
      <c r="B97" t="str">
        <f t="shared" si="1"/>
        <v>Young Adults</v>
      </c>
      <c r="C97" t="s">
        <v>12</v>
      </c>
      <c r="D97" t="s">
        <v>14</v>
      </c>
      <c r="E97" t="s">
        <v>20</v>
      </c>
      <c r="F97" t="s">
        <v>25</v>
      </c>
      <c r="G97" t="s">
        <v>33</v>
      </c>
      <c r="H97" t="s">
        <v>37</v>
      </c>
      <c r="I97" s="2" t="s">
        <v>20</v>
      </c>
      <c r="J97" s="2" t="s">
        <v>18</v>
      </c>
      <c r="K97" s="2" t="s">
        <v>43</v>
      </c>
      <c r="L97" s="2" t="s">
        <v>43</v>
      </c>
      <c r="M97" s="2" t="s">
        <v>39</v>
      </c>
    </row>
    <row r="98" spans="1:13" x14ac:dyDescent="0.35">
      <c r="A98">
        <v>25</v>
      </c>
      <c r="B98" t="str">
        <f t="shared" si="1"/>
        <v>Young Adults</v>
      </c>
      <c r="C98" t="s">
        <v>13</v>
      </c>
      <c r="D98" t="s">
        <v>15</v>
      </c>
      <c r="E98" t="s">
        <v>19</v>
      </c>
      <c r="F98" t="s">
        <v>23</v>
      </c>
      <c r="G98" t="s">
        <v>34</v>
      </c>
      <c r="H98" t="s">
        <v>38</v>
      </c>
      <c r="I98" s="2" t="s">
        <v>42</v>
      </c>
      <c r="J98" s="2" t="s">
        <v>18</v>
      </c>
      <c r="K98" s="2" t="s">
        <v>43</v>
      </c>
      <c r="L98" s="2" t="s">
        <v>18</v>
      </c>
      <c r="M98" s="2" t="s">
        <v>39</v>
      </c>
    </row>
    <row r="99" spans="1:13" x14ac:dyDescent="0.35">
      <c r="A99">
        <v>22</v>
      </c>
      <c r="B99" t="str">
        <f t="shared" si="1"/>
        <v>Young Adults</v>
      </c>
      <c r="C99" t="s">
        <v>13</v>
      </c>
      <c r="D99" t="s">
        <v>16</v>
      </c>
      <c r="E99" t="s">
        <v>19</v>
      </c>
      <c r="F99" t="s">
        <v>32</v>
      </c>
      <c r="G99" t="s">
        <v>33</v>
      </c>
      <c r="H99" t="s">
        <v>38</v>
      </c>
      <c r="I99" s="2" t="s">
        <v>43</v>
      </c>
      <c r="J99" s="2" t="s">
        <v>42</v>
      </c>
      <c r="K99" s="2" t="s">
        <v>20</v>
      </c>
      <c r="L99" s="2" t="s">
        <v>45</v>
      </c>
      <c r="M99" s="2" t="s">
        <v>39</v>
      </c>
    </row>
    <row r="100" spans="1:13" x14ac:dyDescent="0.35">
      <c r="A100">
        <v>30</v>
      </c>
      <c r="B100" t="str">
        <f t="shared" si="1"/>
        <v>Young Adults</v>
      </c>
      <c r="C100" t="s">
        <v>12</v>
      </c>
      <c r="D100" t="s">
        <v>16</v>
      </c>
      <c r="E100" t="s">
        <v>20</v>
      </c>
      <c r="F100" t="s">
        <v>31</v>
      </c>
      <c r="G100" t="s">
        <v>33</v>
      </c>
      <c r="H100" t="s">
        <v>37</v>
      </c>
      <c r="I100" s="2" t="s">
        <v>18</v>
      </c>
      <c r="J100" s="2" t="s">
        <v>43</v>
      </c>
      <c r="K100" s="2" t="s">
        <v>18</v>
      </c>
      <c r="L100" s="2" t="s">
        <v>20</v>
      </c>
      <c r="M100" s="2" t="s">
        <v>40</v>
      </c>
    </row>
    <row r="101" spans="1:13" x14ac:dyDescent="0.35">
      <c r="A101">
        <v>22</v>
      </c>
      <c r="B101" t="str">
        <f t="shared" si="1"/>
        <v>Young Adults</v>
      </c>
      <c r="C101" t="s">
        <v>12</v>
      </c>
      <c r="D101" t="s">
        <v>15</v>
      </c>
      <c r="E101" t="s">
        <v>19</v>
      </c>
      <c r="F101" t="s">
        <v>29</v>
      </c>
      <c r="G101" t="s">
        <v>33</v>
      </c>
      <c r="H101" t="s">
        <v>37</v>
      </c>
      <c r="I101" s="2" t="s">
        <v>45</v>
      </c>
      <c r="J101" s="2" t="s">
        <v>20</v>
      </c>
      <c r="K101" s="2" t="s">
        <v>43</v>
      </c>
      <c r="L101" s="2" t="s">
        <v>20</v>
      </c>
      <c r="M101" s="2" t="s">
        <v>40</v>
      </c>
    </row>
    <row r="102" spans="1:13" x14ac:dyDescent="0.35">
      <c r="A102">
        <v>22</v>
      </c>
      <c r="B102" t="str">
        <f t="shared" si="1"/>
        <v>Young Adults</v>
      </c>
      <c r="C102" t="s">
        <v>12</v>
      </c>
      <c r="D102" t="s">
        <v>16</v>
      </c>
      <c r="E102" t="s">
        <v>19</v>
      </c>
      <c r="F102" t="s">
        <v>24</v>
      </c>
      <c r="G102" t="s">
        <v>35</v>
      </c>
      <c r="H102" t="s">
        <v>38</v>
      </c>
      <c r="I102" s="2" t="s">
        <v>42</v>
      </c>
      <c r="J102" s="2" t="s">
        <v>45</v>
      </c>
      <c r="K102" s="2" t="s">
        <v>20</v>
      </c>
      <c r="L102" s="2" t="s">
        <v>43</v>
      </c>
      <c r="M102" s="2" t="s">
        <v>39</v>
      </c>
    </row>
    <row r="103" spans="1:13" x14ac:dyDescent="0.35">
      <c r="A103">
        <v>18</v>
      </c>
      <c r="B103" t="str">
        <f t="shared" si="1"/>
        <v>Young</v>
      </c>
      <c r="C103" t="s">
        <v>12</v>
      </c>
      <c r="D103" t="s">
        <v>14</v>
      </c>
      <c r="E103" t="s">
        <v>20</v>
      </c>
      <c r="F103" t="s">
        <v>24</v>
      </c>
      <c r="G103" t="s">
        <v>35</v>
      </c>
      <c r="H103" t="s">
        <v>36</v>
      </c>
      <c r="I103" s="2" t="s">
        <v>42</v>
      </c>
      <c r="J103" s="2" t="s">
        <v>43</v>
      </c>
      <c r="K103" s="2" t="s">
        <v>20</v>
      </c>
      <c r="L103" s="2" t="s">
        <v>20</v>
      </c>
      <c r="M103" s="2" t="s">
        <v>39</v>
      </c>
    </row>
    <row r="104" spans="1:13" x14ac:dyDescent="0.35">
      <c r="A104">
        <v>25</v>
      </c>
      <c r="B104" t="str">
        <f t="shared" si="1"/>
        <v>Young Adults</v>
      </c>
      <c r="C104" t="s">
        <v>13</v>
      </c>
      <c r="D104" t="s">
        <v>17</v>
      </c>
      <c r="E104" t="s">
        <v>18</v>
      </c>
      <c r="F104" t="s">
        <v>24</v>
      </c>
      <c r="G104" t="s">
        <v>33</v>
      </c>
      <c r="H104" t="s">
        <v>37</v>
      </c>
      <c r="I104" s="2" t="s">
        <v>43</v>
      </c>
      <c r="J104" s="2" t="s">
        <v>42</v>
      </c>
      <c r="K104" s="2" t="s">
        <v>18</v>
      </c>
      <c r="L104" s="2" t="s">
        <v>45</v>
      </c>
      <c r="M104" s="2" t="s">
        <v>40</v>
      </c>
    </row>
    <row r="105" spans="1:13" x14ac:dyDescent="0.35">
      <c r="A105">
        <v>35</v>
      </c>
      <c r="B105" t="str">
        <f t="shared" si="1"/>
        <v>Adults</v>
      </c>
      <c r="C105" t="s">
        <v>13</v>
      </c>
      <c r="D105" t="s">
        <v>17</v>
      </c>
      <c r="E105" t="s">
        <v>18</v>
      </c>
      <c r="F105" t="s">
        <v>30</v>
      </c>
      <c r="G105" t="s">
        <v>33</v>
      </c>
      <c r="H105" t="s">
        <v>36</v>
      </c>
      <c r="I105" s="2" t="s">
        <v>18</v>
      </c>
      <c r="J105" s="2" t="s">
        <v>20</v>
      </c>
      <c r="K105" s="2" t="s">
        <v>18</v>
      </c>
      <c r="L105" s="2" t="s">
        <v>42</v>
      </c>
      <c r="M105" s="2" t="s">
        <v>39</v>
      </c>
    </row>
    <row r="106" spans="1:13" x14ac:dyDescent="0.35">
      <c r="A106">
        <v>18</v>
      </c>
      <c r="B106" t="str">
        <f t="shared" si="1"/>
        <v>Young</v>
      </c>
      <c r="C106" t="s">
        <v>12</v>
      </c>
      <c r="D106" t="s">
        <v>15</v>
      </c>
      <c r="E106" t="s">
        <v>19</v>
      </c>
      <c r="F106" t="s">
        <v>24</v>
      </c>
      <c r="G106" t="s">
        <v>34</v>
      </c>
      <c r="H106" t="s">
        <v>38</v>
      </c>
      <c r="I106" s="2" t="s">
        <v>42</v>
      </c>
      <c r="J106" s="2" t="s">
        <v>43</v>
      </c>
      <c r="K106" s="2" t="s">
        <v>20</v>
      </c>
      <c r="L106" s="2" t="s">
        <v>43</v>
      </c>
      <c r="M106" s="2" t="s">
        <v>39</v>
      </c>
    </row>
    <row r="107" spans="1:13" x14ac:dyDescent="0.35">
      <c r="A107">
        <v>18</v>
      </c>
      <c r="B107" t="str">
        <f t="shared" si="1"/>
        <v>Young</v>
      </c>
      <c r="C107" t="s">
        <v>12</v>
      </c>
      <c r="D107" t="s">
        <v>17</v>
      </c>
      <c r="E107" t="s">
        <v>19</v>
      </c>
      <c r="F107" t="s">
        <v>28</v>
      </c>
      <c r="G107" t="s">
        <v>33</v>
      </c>
      <c r="H107" t="s">
        <v>37</v>
      </c>
      <c r="I107" s="2" t="s">
        <v>43</v>
      </c>
      <c r="J107" s="2" t="s">
        <v>42</v>
      </c>
      <c r="K107" s="2" t="s">
        <v>18</v>
      </c>
      <c r="L107" s="2" t="s">
        <v>43</v>
      </c>
      <c r="M107" s="2" t="s">
        <v>40</v>
      </c>
    </row>
    <row r="108" spans="1:13" x14ac:dyDescent="0.35">
      <c r="A108">
        <v>35</v>
      </c>
      <c r="B108" t="str">
        <f t="shared" si="1"/>
        <v>Adults</v>
      </c>
      <c r="C108" t="s">
        <v>13</v>
      </c>
      <c r="D108" t="s">
        <v>15</v>
      </c>
      <c r="E108" t="s">
        <v>20</v>
      </c>
      <c r="F108" t="s">
        <v>32</v>
      </c>
      <c r="G108" t="s">
        <v>33</v>
      </c>
      <c r="H108" t="s">
        <v>37</v>
      </c>
      <c r="I108" s="2" t="s">
        <v>18</v>
      </c>
      <c r="J108" s="2" t="s">
        <v>42</v>
      </c>
      <c r="K108" s="2" t="s">
        <v>42</v>
      </c>
      <c r="L108" s="2" t="s">
        <v>45</v>
      </c>
      <c r="M108" s="2" t="s">
        <v>39</v>
      </c>
    </row>
    <row r="109" spans="1:13" x14ac:dyDescent="0.35">
      <c r="A109">
        <v>35</v>
      </c>
      <c r="B109" t="str">
        <f t="shared" si="1"/>
        <v>Adults</v>
      </c>
      <c r="C109" t="s">
        <v>12</v>
      </c>
      <c r="D109" t="s">
        <v>14</v>
      </c>
      <c r="E109" t="s">
        <v>19</v>
      </c>
      <c r="F109" t="s">
        <v>28</v>
      </c>
      <c r="G109" t="s">
        <v>34</v>
      </c>
      <c r="H109" t="s">
        <v>37</v>
      </c>
      <c r="I109" s="2" t="s">
        <v>42</v>
      </c>
      <c r="J109" s="2" t="s">
        <v>45</v>
      </c>
      <c r="K109" s="2" t="s">
        <v>42</v>
      </c>
      <c r="L109" s="2" t="s">
        <v>20</v>
      </c>
      <c r="M109" s="2" t="s">
        <v>39</v>
      </c>
    </row>
    <row r="110" spans="1:13" x14ac:dyDescent="0.35">
      <c r="A110">
        <v>55</v>
      </c>
      <c r="B110" t="str">
        <f t="shared" si="1"/>
        <v>Seniors</v>
      </c>
      <c r="C110" t="s">
        <v>12</v>
      </c>
      <c r="D110" t="s">
        <v>14</v>
      </c>
      <c r="E110" t="s">
        <v>20</v>
      </c>
      <c r="F110" t="s">
        <v>22</v>
      </c>
      <c r="G110" t="s">
        <v>33</v>
      </c>
      <c r="H110" t="s">
        <v>37</v>
      </c>
      <c r="I110" s="2" t="s">
        <v>43</v>
      </c>
      <c r="J110" s="2" t="s">
        <v>20</v>
      </c>
      <c r="K110" s="2" t="s">
        <v>45</v>
      </c>
      <c r="L110" s="2" t="s">
        <v>45</v>
      </c>
      <c r="M110" s="2" t="s">
        <v>40</v>
      </c>
    </row>
    <row r="111" spans="1:13" x14ac:dyDescent="0.35">
      <c r="A111">
        <v>30</v>
      </c>
      <c r="B111" t="str">
        <f t="shared" si="1"/>
        <v>Young Adults</v>
      </c>
      <c r="C111" t="s">
        <v>12</v>
      </c>
      <c r="D111" t="s">
        <v>14</v>
      </c>
      <c r="E111" t="s">
        <v>19</v>
      </c>
      <c r="F111" t="s">
        <v>30</v>
      </c>
      <c r="G111" t="s">
        <v>33</v>
      </c>
      <c r="H111" t="s">
        <v>38</v>
      </c>
      <c r="I111" s="2" t="s">
        <v>45</v>
      </c>
      <c r="J111" s="2" t="s">
        <v>43</v>
      </c>
      <c r="K111" s="2" t="s">
        <v>18</v>
      </c>
      <c r="L111" s="2" t="s">
        <v>45</v>
      </c>
      <c r="M111" s="2" t="s">
        <v>40</v>
      </c>
    </row>
    <row r="112" spans="1:13" x14ac:dyDescent="0.35">
      <c r="A112">
        <v>30</v>
      </c>
      <c r="B112" t="str">
        <f t="shared" si="1"/>
        <v>Young Adults</v>
      </c>
      <c r="C112" t="s">
        <v>12</v>
      </c>
      <c r="D112" t="s">
        <v>16</v>
      </c>
      <c r="E112" t="s">
        <v>19</v>
      </c>
      <c r="F112" t="s">
        <v>22</v>
      </c>
      <c r="G112" t="s">
        <v>33</v>
      </c>
      <c r="H112" t="s">
        <v>38</v>
      </c>
      <c r="I112" s="2" t="s">
        <v>45</v>
      </c>
      <c r="J112" s="2" t="s">
        <v>20</v>
      </c>
      <c r="K112" s="2" t="s">
        <v>42</v>
      </c>
      <c r="L112" s="2" t="s">
        <v>45</v>
      </c>
      <c r="M112" s="2" t="s">
        <v>39</v>
      </c>
    </row>
    <row r="113" spans="1:13" x14ac:dyDescent="0.35">
      <c r="A113">
        <v>45</v>
      </c>
      <c r="B113" t="str">
        <f t="shared" si="1"/>
        <v>Adults</v>
      </c>
      <c r="C113" t="s">
        <v>12</v>
      </c>
      <c r="D113" t="s">
        <v>17</v>
      </c>
      <c r="E113" t="s">
        <v>20</v>
      </c>
      <c r="F113" t="s">
        <v>32</v>
      </c>
      <c r="G113" t="s">
        <v>33</v>
      </c>
      <c r="H113" t="s">
        <v>37</v>
      </c>
      <c r="I113" s="2" t="s">
        <v>45</v>
      </c>
      <c r="J113" s="2" t="s">
        <v>43</v>
      </c>
      <c r="K113" s="2" t="s">
        <v>43</v>
      </c>
      <c r="L113" s="2" t="s">
        <v>20</v>
      </c>
      <c r="M113" s="2" t="s">
        <v>40</v>
      </c>
    </row>
    <row r="114" spans="1:13" x14ac:dyDescent="0.35">
      <c r="A114">
        <v>35</v>
      </c>
      <c r="B114" t="str">
        <f t="shared" si="1"/>
        <v>Adults</v>
      </c>
      <c r="C114" t="s">
        <v>13</v>
      </c>
      <c r="D114" t="s">
        <v>16</v>
      </c>
      <c r="E114" t="s">
        <v>19</v>
      </c>
      <c r="F114" t="s">
        <v>22</v>
      </c>
      <c r="G114" t="s">
        <v>33</v>
      </c>
      <c r="H114" t="s">
        <v>38</v>
      </c>
      <c r="I114" s="2" t="s">
        <v>43</v>
      </c>
      <c r="J114" s="2" t="s">
        <v>42</v>
      </c>
      <c r="K114" s="2" t="s">
        <v>43</v>
      </c>
      <c r="L114" s="2" t="s">
        <v>20</v>
      </c>
      <c r="M114" s="2" t="s">
        <v>40</v>
      </c>
    </row>
    <row r="115" spans="1:13" x14ac:dyDescent="0.35">
      <c r="A115">
        <v>18</v>
      </c>
      <c r="B115" t="str">
        <f t="shared" si="1"/>
        <v>Young</v>
      </c>
      <c r="C115" t="s">
        <v>12</v>
      </c>
      <c r="D115" t="s">
        <v>16</v>
      </c>
      <c r="E115" t="s">
        <v>18</v>
      </c>
      <c r="F115" t="s">
        <v>24</v>
      </c>
      <c r="G115" t="s">
        <v>34</v>
      </c>
      <c r="H115" t="s">
        <v>36</v>
      </c>
      <c r="I115" s="2" t="s">
        <v>20</v>
      </c>
      <c r="J115" s="2" t="s">
        <v>18</v>
      </c>
      <c r="K115" s="2" t="s">
        <v>20</v>
      </c>
      <c r="L115" s="2" t="s">
        <v>42</v>
      </c>
      <c r="M115" s="2" t="s">
        <v>39</v>
      </c>
    </row>
    <row r="116" spans="1:13" x14ac:dyDescent="0.35">
      <c r="A116">
        <v>25</v>
      </c>
      <c r="B116" t="str">
        <f t="shared" si="1"/>
        <v>Young Adults</v>
      </c>
      <c r="C116" t="s">
        <v>12</v>
      </c>
      <c r="D116" t="s">
        <v>15</v>
      </c>
      <c r="E116" t="s">
        <v>20</v>
      </c>
      <c r="F116" t="s">
        <v>32</v>
      </c>
      <c r="G116" t="s">
        <v>33</v>
      </c>
      <c r="H116" t="s">
        <v>38</v>
      </c>
      <c r="I116" s="2" t="s">
        <v>45</v>
      </c>
      <c r="J116" s="2" t="s">
        <v>45</v>
      </c>
      <c r="K116" s="2" t="s">
        <v>18</v>
      </c>
      <c r="L116" s="2" t="s">
        <v>20</v>
      </c>
      <c r="M116" s="2" t="s">
        <v>39</v>
      </c>
    </row>
    <row r="117" spans="1:13" x14ac:dyDescent="0.35">
      <c r="A117">
        <v>45</v>
      </c>
      <c r="B117" t="str">
        <f t="shared" si="1"/>
        <v>Adults</v>
      </c>
      <c r="C117" t="s">
        <v>12</v>
      </c>
      <c r="D117" t="s">
        <v>15</v>
      </c>
      <c r="E117" t="s">
        <v>19</v>
      </c>
      <c r="F117" t="s">
        <v>32</v>
      </c>
      <c r="G117" t="s">
        <v>33</v>
      </c>
      <c r="H117" t="s">
        <v>38</v>
      </c>
      <c r="I117" s="2" t="s">
        <v>20</v>
      </c>
      <c r="J117" s="2" t="s">
        <v>18</v>
      </c>
      <c r="K117" s="2" t="s">
        <v>43</v>
      </c>
      <c r="L117" s="2" t="s">
        <v>18</v>
      </c>
      <c r="M117" s="2" t="s">
        <v>39</v>
      </c>
    </row>
    <row r="118" spans="1:13" x14ac:dyDescent="0.35">
      <c r="A118">
        <v>30</v>
      </c>
      <c r="B118" t="str">
        <f t="shared" si="1"/>
        <v>Young Adults</v>
      </c>
      <c r="C118" t="s">
        <v>12</v>
      </c>
      <c r="D118" t="s">
        <v>16</v>
      </c>
      <c r="E118" t="s">
        <v>19</v>
      </c>
      <c r="F118" t="s">
        <v>29</v>
      </c>
      <c r="G118" t="s">
        <v>34</v>
      </c>
      <c r="H118" t="s">
        <v>38</v>
      </c>
      <c r="I118" s="2" t="s">
        <v>42</v>
      </c>
      <c r="J118" s="2" t="s">
        <v>45</v>
      </c>
      <c r="K118" s="2" t="s">
        <v>42</v>
      </c>
      <c r="L118" s="2" t="s">
        <v>18</v>
      </c>
      <c r="M118" s="2" t="s">
        <v>39</v>
      </c>
    </row>
    <row r="119" spans="1:13" x14ac:dyDescent="0.35">
      <c r="A119">
        <v>22</v>
      </c>
      <c r="B119" t="str">
        <f t="shared" si="1"/>
        <v>Young Adults</v>
      </c>
      <c r="C119" t="s">
        <v>12</v>
      </c>
      <c r="D119" t="s">
        <v>16</v>
      </c>
      <c r="E119" t="s">
        <v>19</v>
      </c>
      <c r="F119" t="s">
        <v>30</v>
      </c>
      <c r="G119" t="s">
        <v>33</v>
      </c>
      <c r="H119" t="s">
        <v>38</v>
      </c>
      <c r="I119" s="2" t="s">
        <v>18</v>
      </c>
      <c r="J119" s="2" t="s">
        <v>20</v>
      </c>
      <c r="K119" s="2" t="s">
        <v>18</v>
      </c>
      <c r="L119" s="2" t="s">
        <v>20</v>
      </c>
      <c r="M119" s="2" t="s">
        <v>40</v>
      </c>
    </row>
    <row r="120" spans="1:13" x14ac:dyDescent="0.35">
      <c r="A120">
        <v>22</v>
      </c>
      <c r="B120" t="str">
        <f t="shared" si="1"/>
        <v>Young Adults</v>
      </c>
      <c r="C120" t="s">
        <v>13</v>
      </c>
      <c r="D120" t="s">
        <v>17</v>
      </c>
      <c r="E120" t="s">
        <v>18</v>
      </c>
      <c r="F120" t="s">
        <v>24</v>
      </c>
      <c r="G120" t="s">
        <v>33</v>
      </c>
      <c r="H120" t="s">
        <v>38</v>
      </c>
      <c r="I120" s="2" t="s">
        <v>20</v>
      </c>
      <c r="J120" s="2" t="s">
        <v>18</v>
      </c>
      <c r="K120" s="2" t="s">
        <v>18</v>
      </c>
      <c r="L120" s="2" t="s">
        <v>20</v>
      </c>
      <c r="M120" s="2" t="s">
        <v>39</v>
      </c>
    </row>
    <row r="121" spans="1:13" x14ac:dyDescent="0.35">
      <c r="A121">
        <v>40</v>
      </c>
      <c r="B121" t="str">
        <f t="shared" si="1"/>
        <v>Adults</v>
      </c>
      <c r="C121" t="s">
        <v>12</v>
      </c>
      <c r="D121" t="s">
        <v>14</v>
      </c>
      <c r="E121" t="s">
        <v>20</v>
      </c>
      <c r="F121" t="s">
        <v>30</v>
      </c>
      <c r="G121" t="s">
        <v>34</v>
      </c>
      <c r="H121" t="s">
        <v>37</v>
      </c>
      <c r="I121" s="2" t="s">
        <v>20</v>
      </c>
      <c r="J121" s="2" t="s">
        <v>18</v>
      </c>
      <c r="K121" s="2" t="s">
        <v>42</v>
      </c>
      <c r="L121" s="2" t="s">
        <v>43</v>
      </c>
      <c r="M121" s="2" t="s">
        <v>39</v>
      </c>
    </row>
    <row r="122" spans="1:13" x14ac:dyDescent="0.35">
      <c r="A122">
        <v>18</v>
      </c>
      <c r="B122" t="str">
        <f t="shared" si="1"/>
        <v>Young</v>
      </c>
      <c r="C122" t="s">
        <v>12</v>
      </c>
      <c r="D122" t="s">
        <v>15</v>
      </c>
      <c r="E122" t="s">
        <v>18</v>
      </c>
      <c r="F122" t="s">
        <v>30</v>
      </c>
      <c r="G122" t="s">
        <v>33</v>
      </c>
      <c r="H122" t="s">
        <v>36</v>
      </c>
      <c r="I122" s="2" t="s">
        <v>42</v>
      </c>
      <c r="J122" s="2" t="s">
        <v>43</v>
      </c>
      <c r="K122" s="2" t="s">
        <v>20</v>
      </c>
      <c r="L122" s="2" t="s">
        <v>18</v>
      </c>
      <c r="M122" s="2" t="s">
        <v>39</v>
      </c>
    </row>
    <row r="123" spans="1:13" x14ac:dyDescent="0.35">
      <c r="A123">
        <v>25</v>
      </c>
      <c r="B123" t="str">
        <f t="shared" si="1"/>
        <v>Young Adults</v>
      </c>
      <c r="C123" t="s">
        <v>12</v>
      </c>
      <c r="D123" t="s">
        <v>16</v>
      </c>
      <c r="E123" t="s">
        <v>19</v>
      </c>
      <c r="F123" t="s">
        <v>24</v>
      </c>
      <c r="G123" t="s">
        <v>34</v>
      </c>
      <c r="H123" t="s">
        <v>37</v>
      </c>
      <c r="I123" s="2" t="s">
        <v>42</v>
      </c>
      <c r="J123" s="2" t="s">
        <v>45</v>
      </c>
      <c r="K123" s="2" t="s">
        <v>20</v>
      </c>
      <c r="L123" s="2" t="s">
        <v>18</v>
      </c>
      <c r="M123" s="2" t="s">
        <v>39</v>
      </c>
    </row>
    <row r="124" spans="1:13" x14ac:dyDescent="0.35">
      <c r="A124">
        <v>60</v>
      </c>
      <c r="B124" t="str">
        <f t="shared" si="1"/>
        <v>Seniors</v>
      </c>
      <c r="C124" t="s">
        <v>12</v>
      </c>
      <c r="D124" t="s">
        <v>17</v>
      </c>
      <c r="E124" t="s">
        <v>18</v>
      </c>
      <c r="F124" t="s">
        <v>29</v>
      </c>
      <c r="G124" t="s">
        <v>34</v>
      </c>
      <c r="H124" t="s">
        <v>38</v>
      </c>
      <c r="I124" s="2" t="s">
        <v>20</v>
      </c>
      <c r="J124" s="2" t="s">
        <v>18</v>
      </c>
      <c r="K124" s="2" t="s">
        <v>42</v>
      </c>
      <c r="L124" s="2" t="s">
        <v>43</v>
      </c>
      <c r="M124" s="2" t="s">
        <v>39</v>
      </c>
    </row>
    <row r="125" spans="1:13" x14ac:dyDescent="0.35">
      <c r="A125">
        <v>25</v>
      </c>
      <c r="B125" t="str">
        <f t="shared" si="1"/>
        <v>Young Adults</v>
      </c>
      <c r="C125" t="s">
        <v>13</v>
      </c>
      <c r="D125" t="s">
        <v>15</v>
      </c>
      <c r="E125" t="s">
        <v>20</v>
      </c>
      <c r="F125" t="s">
        <v>30</v>
      </c>
      <c r="G125" t="s">
        <v>33</v>
      </c>
      <c r="H125" t="s">
        <v>38</v>
      </c>
      <c r="I125" s="2" t="s">
        <v>43</v>
      </c>
      <c r="J125" s="2" t="s">
        <v>20</v>
      </c>
      <c r="K125" s="2" t="s">
        <v>45</v>
      </c>
      <c r="L125" s="2" t="s">
        <v>18</v>
      </c>
      <c r="M125" s="2" t="s">
        <v>40</v>
      </c>
    </row>
    <row r="126" spans="1:13" x14ac:dyDescent="0.35">
      <c r="A126">
        <v>22</v>
      </c>
      <c r="B126" t="str">
        <f t="shared" si="1"/>
        <v>Young Adults</v>
      </c>
      <c r="C126" t="s">
        <v>13</v>
      </c>
      <c r="D126" t="s">
        <v>14</v>
      </c>
      <c r="E126" t="s">
        <v>19</v>
      </c>
      <c r="F126" t="s">
        <v>28</v>
      </c>
      <c r="G126" t="s">
        <v>33</v>
      </c>
      <c r="H126" t="s">
        <v>37</v>
      </c>
      <c r="I126" s="2" t="s">
        <v>20</v>
      </c>
      <c r="J126" s="2" t="s">
        <v>43</v>
      </c>
      <c r="K126" s="2" t="s">
        <v>43</v>
      </c>
      <c r="L126" s="2" t="s">
        <v>43</v>
      </c>
      <c r="M126" s="2" t="s">
        <v>39</v>
      </c>
    </row>
    <row r="127" spans="1:13" x14ac:dyDescent="0.35">
      <c r="A127">
        <v>22</v>
      </c>
      <c r="B127" t="str">
        <f t="shared" si="1"/>
        <v>Young Adults</v>
      </c>
      <c r="C127" t="s">
        <v>12</v>
      </c>
      <c r="D127" t="s">
        <v>17</v>
      </c>
      <c r="E127" t="s">
        <v>20</v>
      </c>
      <c r="F127" t="s">
        <v>25</v>
      </c>
      <c r="G127" t="s">
        <v>33</v>
      </c>
      <c r="H127" t="s">
        <v>37</v>
      </c>
      <c r="I127" s="2" t="s">
        <v>45</v>
      </c>
      <c r="J127" s="2" t="s">
        <v>42</v>
      </c>
      <c r="K127" s="2" t="s">
        <v>20</v>
      </c>
      <c r="L127" s="2" t="s">
        <v>42</v>
      </c>
      <c r="M127" s="2" t="s">
        <v>39</v>
      </c>
    </row>
    <row r="128" spans="1:13" x14ac:dyDescent="0.35">
      <c r="A128">
        <v>35</v>
      </c>
      <c r="B128" t="str">
        <f t="shared" si="1"/>
        <v>Adults</v>
      </c>
      <c r="C128" t="s">
        <v>12</v>
      </c>
      <c r="D128" t="s">
        <v>15</v>
      </c>
      <c r="E128" t="s">
        <v>18</v>
      </c>
      <c r="F128" t="s">
        <v>31</v>
      </c>
      <c r="G128" t="s">
        <v>35</v>
      </c>
      <c r="H128" t="s">
        <v>36</v>
      </c>
      <c r="I128" s="2" t="s">
        <v>20</v>
      </c>
      <c r="J128" s="2" t="s">
        <v>18</v>
      </c>
      <c r="K128" s="2" t="s">
        <v>42</v>
      </c>
      <c r="L128" s="2" t="s">
        <v>18</v>
      </c>
      <c r="M128" s="2" t="s">
        <v>39</v>
      </c>
    </row>
    <row r="129" spans="1:13" x14ac:dyDescent="0.35">
      <c r="A129">
        <v>25</v>
      </c>
      <c r="B129" t="str">
        <f t="shared" si="1"/>
        <v>Young Adults</v>
      </c>
      <c r="C129" t="s">
        <v>13</v>
      </c>
      <c r="D129" t="s">
        <v>14</v>
      </c>
      <c r="E129" t="s">
        <v>19</v>
      </c>
      <c r="F129" t="s">
        <v>28</v>
      </c>
      <c r="G129" t="s">
        <v>34</v>
      </c>
      <c r="H129" t="s">
        <v>37</v>
      </c>
      <c r="I129" s="2" t="s">
        <v>20</v>
      </c>
      <c r="J129" s="2" t="s">
        <v>43</v>
      </c>
      <c r="K129" s="2" t="s">
        <v>43</v>
      </c>
      <c r="L129" s="2" t="s">
        <v>42</v>
      </c>
      <c r="M129" s="2" t="s">
        <v>39</v>
      </c>
    </row>
    <row r="130" spans="1:13" x14ac:dyDescent="0.35">
      <c r="A130">
        <v>22</v>
      </c>
      <c r="B130" t="str">
        <f t="shared" si="1"/>
        <v>Young Adults</v>
      </c>
      <c r="C130" t="s">
        <v>13</v>
      </c>
      <c r="D130" t="s">
        <v>16</v>
      </c>
      <c r="E130" t="s">
        <v>19</v>
      </c>
      <c r="F130" t="s">
        <v>28</v>
      </c>
      <c r="G130" t="s">
        <v>33</v>
      </c>
      <c r="H130" t="s">
        <v>38</v>
      </c>
      <c r="I130" s="2" t="s">
        <v>45</v>
      </c>
      <c r="J130" s="2" t="s">
        <v>42</v>
      </c>
      <c r="K130" s="2" t="s">
        <v>18</v>
      </c>
      <c r="L130" s="2" t="s">
        <v>18</v>
      </c>
      <c r="M130" s="2" t="s">
        <v>40</v>
      </c>
    </row>
    <row r="131" spans="1:13" x14ac:dyDescent="0.35">
      <c r="A131">
        <v>30</v>
      </c>
      <c r="B131" t="str">
        <f t="shared" ref="B131:B194" si="2">IF(A:A&gt;=55,"Seniors",IF(A:A&gt;=35,"Adults",IF(A:A&gt;=20,"Young Adults",IF(A:A&gt;=18,"Young"))))</f>
        <v>Young Adults</v>
      </c>
      <c r="C131" t="s">
        <v>12</v>
      </c>
      <c r="D131" t="s">
        <v>15</v>
      </c>
      <c r="E131" t="s">
        <v>20</v>
      </c>
      <c r="F131" t="s">
        <v>29</v>
      </c>
      <c r="G131" t="s">
        <v>33</v>
      </c>
      <c r="H131" t="s">
        <v>37</v>
      </c>
      <c r="I131" s="2" t="s">
        <v>42</v>
      </c>
      <c r="J131" s="2" t="s">
        <v>43</v>
      </c>
      <c r="K131" s="2" t="s">
        <v>45</v>
      </c>
      <c r="L131" s="2" t="s">
        <v>20</v>
      </c>
      <c r="M131" s="2" t="s">
        <v>39</v>
      </c>
    </row>
    <row r="132" spans="1:13" x14ac:dyDescent="0.35">
      <c r="A132">
        <v>55</v>
      </c>
      <c r="B132" t="str">
        <f t="shared" si="2"/>
        <v>Seniors</v>
      </c>
      <c r="C132" t="s">
        <v>12</v>
      </c>
      <c r="D132" t="s">
        <v>16</v>
      </c>
      <c r="E132" t="s">
        <v>19</v>
      </c>
      <c r="F132" t="s">
        <v>32</v>
      </c>
      <c r="G132" t="s">
        <v>33</v>
      </c>
      <c r="H132" t="s">
        <v>37</v>
      </c>
      <c r="I132" s="2" t="s">
        <v>43</v>
      </c>
      <c r="J132" s="2" t="s">
        <v>20</v>
      </c>
      <c r="K132" s="2" t="s">
        <v>18</v>
      </c>
      <c r="L132" s="2" t="s">
        <v>43</v>
      </c>
      <c r="M132" s="2" t="s">
        <v>40</v>
      </c>
    </row>
    <row r="133" spans="1:13" x14ac:dyDescent="0.35">
      <c r="A133">
        <v>60</v>
      </c>
      <c r="B133" t="str">
        <f t="shared" si="2"/>
        <v>Seniors</v>
      </c>
      <c r="C133" t="s">
        <v>13</v>
      </c>
      <c r="D133" t="s">
        <v>16</v>
      </c>
      <c r="E133" t="s">
        <v>18</v>
      </c>
      <c r="F133" t="s">
        <v>24</v>
      </c>
      <c r="G133" t="s">
        <v>33</v>
      </c>
      <c r="H133" t="s">
        <v>37</v>
      </c>
      <c r="I133" s="2" t="s">
        <v>18</v>
      </c>
      <c r="J133" s="2" t="s">
        <v>18</v>
      </c>
      <c r="K133" s="2" t="s">
        <v>18</v>
      </c>
      <c r="L133" s="2" t="s">
        <v>18</v>
      </c>
      <c r="M133" s="2" t="s">
        <v>39</v>
      </c>
    </row>
    <row r="134" spans="1:13" x14ac:dyDescent="0.35">
      <c r="A134">
        <v>22</v>
      </c>
      <c r="B134" t="str">
        <f t="shared" si="2"/>
        <v>Young Adults</v>
      </c>
      <c r="C134" t="s">
        <v>13</v>
      </c>
      <c r="D134" t="s">
        <v>15</v>
      </c>
      <c r="E134" t="s">
        <v>18</v>
      </c>
      <c r="F134" t="s">
        <v>32</v>
      </c>
      <c r="G134" t="s">
        <v>33</v>
      </c>
      <c r="H134" t="s">
        <v>37</v>
      </c>
      <c r="I134" s="2" t="s">
        <v>18</v>
      </c>
      <c r="J134" s="2" t="s">
        <v>43</v>
      </c>
      <c r="K134" s="2" t="s">
        <v>43</v>
      </c>
      <c r="L134" s="2" t="s">
        <v>18</v>
      </c>
      <c r="M134" s="2" t="s">
        <v>40</v>
      </c>
    </row>
    <row r="135" spans="1:13" x14ac:dyDescent="0.35">
      <c r="A135">
        <v>25</v>
      </c>
      <c r="B135" t="str">
        <f t="shared" si="2"/>
        <v>Young Adults</v>
      </c>
      <c r="C135" t="s">
        <v>12</v>
      </c>
      <c r="D135" t="s">
        <v>16</v>
      </c>
      <c r="E135" t="s">
        <v>18</v>
      </c>
      <c r="F135" t="s">
        <v>29</v>
      </c>
      <c r="G135" t="s">
        <v>33</v>
      </c>
      <c r="H135" t="s">
        <v>37</v>
      </c>
      <c r="I135" s="2" t="s">
        <v>45</v>
      </c>
      <c r="J135" s="2" t="s">
        <v>42</v>
      </c>
      <c r="K135" s="2" t="s">
        <v>45</v>
      </c>
      <c r="L135" s="2" t="s">
        <v>42</v>
      </c>
      <c r="M135" s="2" t="s">
        <v>40</v>
      </c>
    </row>
    <row r="136" spans="1:13" x14ac:dyDescent="0.35">
      <c r="A136">
        <v>30</v>
      </c>
      <c r="B136" t="str">
        <f t="shared" si="2"/>
        <v>Young Adults</v>
      </c>
      <c r="C136" t="s">
        <v>12</v>
      </c>
      <c r="D136" t="s">
        <v>16</v>
      </c>
      <c r="E136" t="s">
        <v>19</v>
      </c>
      <c r="F136" t="s">
        <v>25</v>
      </c>
      <c r="G136" t="s">
        <v>33</v>
      </c>
      <c r="H136" t="s">
        <v>37</v>
      </c>
      <c r="I136" s="2" t="s">
        <v>20</v>
      </c>
      <c r="J136" s="2" t="s">
        <v>45</v>
      </c>
      <c r="K136" s="2" t="s">
        <v>18</v>
      </c>
      <c r="L136" s="2" t="s">
        <v>42</v>
      </c>
      <c r="M136" s="2" t="s">
        <v>39</v>
      </c>
    </row>
    <row r="137" spans="1:13" x14ac:dyDescent="0.35">
      <c r="A137">
        <v>25</v>
      </c>
      <c r="B137" t="str">
        <f t="shared" si="2"/>
        <v>Young Adults</v>
      </c>
      <c r="C137" t="s">
        <v>13</v>
      </c>
      <c r="D137" t="s">
        <v>17</v>
      </c>
      <c r="E137" t="s">
        <v>19</v>
      </c>
      <c r="F137" t="s">
        <v>28</v>
      </c>
      <c r="G137" t="s">
        <v>34</v>
      </c>
      <c r="H137" t="s">
        <v>38</v>
      </c>
      <c r="I137" s="2" t="s">
        <v>20</v>
      </c>
      <c r="J137" s="2" t="s">
        <v>45</v>
      </c>
      <c r="K137" s="2" t="s">
        <v>42</v>
      </c>
      <c r="L137" s="2" t="s">
        <v>20</v>
      </c>
      <c r="M137" s="2" t="s">
        <v>39</v>
      </c>
    </row>
    <row r="138" spans="1:13" x14ac:dyDescent="0.35">
      <c r="A138">
        <v>22</v>
      </c>
      <c r="B138" t="str">
        <f t="shared" si="2"/>
        <v>Young Adults</v>
      </c>
      <c r="C138" t="s">
        <v>12</v>
      </c>
      <c r="D138" t="s">
        <v>16</v>
      </c>
      <c r="E138" t="s">
        <v>18</v>
      </c>
      <c r="F138" t="s">
        <v>23</v>
      </c>
      <c r="G138" t="s">
        <v>33</v>
      </c>
      <c r="H138" t="s">
        <v>37</v>
      </c>
      <c r="I138" s="2" t="s">
        <v>43</v>
      </c>
      <c r="J138" s="2" t="s">
        <v>43</v>
      </c>
      <c r="K138" s="2" t="s">
        <v>43</v>
      </c>
      <c r="L138" s="2" t="s">
        <v>43</v>
      </c>
      <c r="M138" s="2" t="s">
        <v>40</v>
      </c>
    </row>
    <row r="139" spans="1:13" x14ac:dyDescent="0.35">
      <c r="A139">
        <v>25</v>
      </c>
      <c r="B139" t="str">
        <f t="shared" si="2"/>
        <v>Young Adults</v>
      </c>
      <c r="C139" t="s">
        <v>13</v>
      </c>
      <c r="D139" t="s">
        <v>15</v>
      </c>
      <c r="E139" t="s">
        <v>20</v>
      </c>
      <c r="F139" t="s">
        <v>30</v>
      </c>
      <c r="G139" t="s">
        <v>33</v>
      </c>
      <c r="H139" t="s">
        <v>38</v>
      </c>
      <c r="I139" s="2" t="s">
        <v>45</v>
      </c>
      <c r="J139" s="2" t="s">
        <v>20</v>
      </c>
      <c r="K139" s="2" t="s">
        <v>45</v>
      </c>
      <c r="L139" s="2" t="s">
        <v>20</v>
      </c>
      <c r="M139" s="2" t="s">
        <v>40</v>
      </c>
    </row>
    <row r="140" spans="1:13" x14ac:dyDescent="0.35">
      <c r="A140">
        <v>60</v>
      </c>
      <c r="B140" t="str">
        <f t="shared" si="2"/>
        <v>Seniors</v>
      </c>
      <c r="C140" t="s">
        <v>13</v>
      </c>
      <c r="D140" t="s">
        <v>17</v>
      </c>
      <c r="E140" t="s">
        <v>18</v>
      </c>
      <c r="F140" t="s">
        <v>27</v>
      </c>
      <c r="G140" t="s">
        <v>33</v>
      </c>
      <c r="H140" t="s">
        <v>38</v>
      </c>
      <c r="I140" s="2" t="s">
        <v>43</v>
      </c>
      <c r="J140" s="2" t="s">
        <v>20</v>
      </c>
      <c r="K140" s="2" t="s">
        <v>18</v>
      </c>
      <c r="L140" s="2" t="s">
        <v>42</v>
      </c>
      <c r="M140" s="2" t="s">
        <v>40</v>
      </c>
    </row>
    <row r="141" spans="1:13" x14ac:dyDescent="0.35">
      <c r="A141">
        <v>35</v>
      </c>
      <c r="B141" t="str">
        <f t="shared" si="2"/>
        <v>Adults</v>
      </c>
      <c r="C141" t="s">
        <v>12</v>
      </c>
      <c r="D141" t="s">
        <v>15</v>
      </c>
      <c r="E141" t="s">
        <v>19</v>
      </c>
      <c r="F141" t="s">
        <v>22</v>
      </c>
      <c r="G141" t="s">
        <v>33</v>
      </c>
      <c r="H141" t="s">
        <v>37</v>
      </c>
      <c r="I141" s="2" t="s">
        <v>20</v>
      </c>
      <c r="J141" s="2" t="s">
        <v>18</v>
      </c>
      <c r="K141" s="2" t="s">
        <v>45</v>
      </c>
      <c r="L141" s="2" t="s">
        <v>43</v>
      </c>
      <c r="M141" s="2" t="s">
        <v>39</v>
      </c>
    </row>
    <row r="142" spans="1:13" x14ac:dyDescent="0.35">
      <c r="A142">
        <v>45</v>
      </c>
      <c r="B142" t="str">
        <f t="shared" si="2"/>
        <v>Adults</v>
      </c>
      <c r="C142" t="s">
        <v>13</v>
      </c>
      <c r="D142" t="s">
        <v>15</v>
      </c>
      <c r="E142" t="s">
        <v>19</v>
      </c>
      <c r="F142" t="s">
        <v>25</v>
      </c>
      <c r="G142" t="s">
        <v>33</v>
      </c>
      <c r="H142" t="s">
        <v>38</v>
      </c>
      <c r="I142" s="2" t="s">
        <v>45</v>
      </c>
      <c r="J142" s="2" t="s">
        <v>18</v>
      </c>
      <c r="K142" s="2" t="s">
        <v>43</v>
      </c>
      <c r="L142" s="2" t="s">
        <v>42</v>
      </c>
      <c r="M142" s="2" t="s">
        <v>39</v>
      </c>
    </row>
    <row r="143" spans="1:13" x14ac:dyDescent="0.35">
      <c r="A143">
        <v>22</v>
      </c>
      <c r="B143" t="str">
        <f t="shared" si="2"/>
        <v>Young Adults</v>
      </c>
      <c r="C143" t="s">
        <v>12</v>
      </c>
      <c r="D143" t="s">
        <v>14</v>
      </c>
      <c r="E143" t="s">
        <v>19</v>
      </c>
      <c r="F143" t="s">
        <v>30</v>
      </c>
      <c r="G143" t="s">
        <v>33</v>
      </c>
      <c r="H143" t="s">
        <v>37</v>
      </c>
      <c r="I143" s="2" t="s">
        <v>45</v>
      </c>
      <c r="J143" s="2" t="s">
        <v>43</v>
      </c>
      <c r="K143" s="2" t="s">
        <v>45</v>
      </c>
      <c r="L143" s="2" t="s">
        <v>42</v>
      </c>
      <c r="M143" s="2" t="s">
        <v>40</v>
      </c>
    </row>
    <row r="144" spans="1:13" x14ac:dyDescent="0.35">
      <c r="A144">
        <v>18</v>
      </c>
      <c r="B144" t="str">
        <f t="shared" si="2"/>
        <v>Young</v>
      </c>
      <c r="C144" t="s">
        <v>13</v>
      </c>
      <c r="D144" t="s">
        <v>15</v>
      </c>
      <c r="E144" t="s">
        <v>20</v>
      </c>
      <c r="F144" t="s">
        <v>28</v>
      </c>
      <c r="G144" t="s">
        <v>33</v>
      </c>
      <c r="H144" t="s">
        <v>37</v>
      </c>
      <c r="I144" s="2" t="s">
        <v>20</v>
      </c>
      <c r="J144" s="2" t="s">
        <v>18</v>
      </c>
      <c r="K144" s="2" t="s">
        <v>45</v>
      </c>
      <c r="L144" s="2" t="s">
        <v>20</v>
      </c>
      <c r="M144" s="2" t="s">
        <v>39</v>
      </c>
    </row>
    <row r="145" spans="1:13" x14ac:dyDescent="0.35">
      <c r="A145">
        <v>45</v>
      </c>
      <c r="B145" t="str">
        <f t="shared" si="2"/>
        <v>Adults</v>
      </c>
      <c r="C145" t="s">
        <v>13</v>
      </c>
      <c r="D145" t="s">
        <v>15</v>
      </c>
      <c r="E145" t="s">
        <v>19</v>
      </c>
      <c r="F145" t="s">
        <v>24</v>
      </c>
      <c r="G145" t="s">
        <v>33</v>
      </c>
      <c r="H145" t="s">
        <v>38</v>
      </c>
      <c r="I145" s="2" t="s">
        <v>45</v>
      </c>
      <c r="J145" s="2" t="s">
        <v>42</v>
      </c>
      <c r="K145" s="2" t="s">
        <v>18</v>
      </c>
      <c r="L145" s="2" t="s">
        <v>20</v>
      </c>
      <c r="M145" s="2" t="s">
        <v>40</v>
      </c>
    </row>
    <row r="146" spans="1:13" x14ac:dyDescent="0.35">
      <c r="A146">
        <v>25</v>
      </c>
      <c r="B146" t="str">
        <f t="shared" si="2"/>
        <v>Young Adults</v>
      </c>
      <c r="C146" t="s">
        <v>12</v>
      </c>
      <c r="D146" t="s">
        <v>14</v>
      </c>
      <c r="E146" t="s">
        <v>18</v>
      </c>
      <c r="F146" t="s">
        <v>22</v>
      </c>
      <c r="G146" t="s">
        <v>33</v>
      </c>
      <c r="H146" t="s">
        <v>38</v>
      </c>
      <c r="I146" s="2" t="s">
        <v>43</v>
      </c>
      <c r="J146" s="2" t="s">
        <v>42</v>
      </c>
      <c r="K146" s="2" t="s">
        <v>18</v>
      </c>
      <c r="L146" s="2" t="s">
        <v>20</v>
      </c>
      <c r="M146" s="2" t="s">
        <v>40</v>
      </c>
    </row>
    <row r="147" spans="1:13" x14ac:dyDescent="0.35">
      <c r="A147">
        <v>50</v>
      </c>
      <c r="B147" t="str">
        <f t="shared" si="2"/>
        <v>Adults</v>
      </c>
      <c r="C147" t="s">
        <v>12</v>
      </c>
      <c r="D147" t="s">
        <v>15</v>
      </c>
      <c r="E147" t="s">
        <v>20</v>
      </c>
      <c r="F147" t="s">
        <v>27</v>
      </c>
      <c r="G147" t="s">
        <v>34</v>
      </c>
      <c r="H147" t="s">
        <v>38</v>
      </c>
      <c r="I147" s="2" t="s">
        <v>20</v>
      </c>
      <c r="J147" s="2" t="s">
        <v>43</v>
      </c>
      <c r="K147" s="2" t="s">
        <v>20</v>
      </c>
      <c r="L147" s="2" t="s">
        <v>42</v>
      </c>
      <c r="M147" s="2" t="s">
        <v>39</v>
      </c>
    </row>
    <row r="148" spans="1:13" x14ac:dyDescent="0.35">
      <c r="A148">
        <v>40</v>
      </c>
      <c r="B148" t="str">
        <f t="shared" si="2"/>
        <v>Adults</v>
      </c>
      <c r="C148" t="s">
        <v>13</v>
      </c>
      <c r="D148" t="s">
        <v>17</v>
      </c>
      <c r="E148" t="s">
        <v>20</v>
      </c>
      <c r="F148" t="s">
        <v>24</v>
      </c>
      <c r="G148" t="s">
        <v>35</v>
      </c>
      <c r="H148" t="s">
        <v>38</v>
      </c>
      <c r="I148" s="2" t="s">
        <v>43</v>
      </c>
      <c r="J148" s="2" t="s">
        <v>20</v>
      </c>
      <c r="K148" s="2" t="s">
        <v>43</v>
      </c>
      <c r="L148" s="2" t="s">
        <v>43</v>
      </c>
      <c r="M148" s="2" t="s">
        <v>39</v>
      </c>
    </row>
    <row r="149" spans="1:13" x14ac:dyDescent="0.35">
      <c r="A149">
        <v>18</v>
      </c>
      <c r="B149" t="str">
        <f t="shared" si="2"/>
        <v>Young</v>
      </c>
      <c r="C149" t="s">
        <v>12</v>
      </c>
      <c r="D149" t="s">
        <v>16</v>
      </c>
      <c r="E149" t="s">
        <v>19</v>
      </c>
      <c r="F149" t="s">
        <v>30</v>
      </c>
      <c r="G149" t="s">
        <v>33</v>
      </c>
      <c r="H149" t="s">
        <v>38</v>
      </c>
      <c r="I149" s="2" t="s">
        <v>20</v>
      </c>
      <c r="J149" s="2" t="s">
        <v>45</v>
      </c>
      <c r="K149" s="2" t="s">
        <v>43</v>
      </c>
      <c r="L149" s="2" t="s">
        <v>20</v>
      </c>
      <c r="M149" s="2" t="s">
        <v>39</v>
      </c>
    </row>
    <row r="150" spans="1:13" x14ac:dyDescent="0.35">
      <c r="A150">
        <v>40</v>
      </c>
      <c r="B150" t="str">
        <f t="shared" si="2"/>
        <v>Adults</v>
      </c>
      <c r="C150" t="s">
        <v>12</v>
      </c>
      <c r="D150" t="s">
        <v>14</v>
      </c>
      <c r="E150" t="s">
        <v>18</v>
      </c>
      <c r="F150" t="s">
        <v>27</v>
      </c>
      <c r="G150" t="s">
        <v>33</v>
      </c>
      <c r="H150" t="s">
        <v>37</v>
      </c>
      <c r="I150" s="2" t="s">
        <v>18</v>
      </c>
      <c r="J150" s="2" t="s">
        <v>42</v>
      </c>
      <c r="K150" s="2" t="s">
        <v>45</v>
      </c>
      <c r="L150" s="2" t="s">
        <v>20</v>
      </c>
      <c r="M150" s="2" t="s">
        <v>40</v>
      </c>
    </row>
    <row r="151" spans="1:13" x14ac:dyDescent="0.35">
      <c r="A151">
        <v>18</v>
      </c>
      <c r="B151" t="str">
        <f t="shared" si="2"/>
        <v>Young</v>
      </c>
      <c r="C151" t="s">
        <v>13</v>
      </c>
      <c r="D151" t="s">
        <v>15</v>
      </c>
      <c r="E151" t="s">
        <v>19</v>
      </c>
      <c r="F151" t="s">
        <v>23</v>
      </c>
      <c r="G151" t="s">
        <v>33</v>
      </c>
      <c r="H151" t="s">
        <v>38</v>
      </c>
      <c r="I151" s="2" t="s">
        <v>45</v>
      </c>
      <c r="J151" s="2" t="s">
        <v>20</v>
      </c>
      <c r="K151" s="2" t="s">
        <v>18</v>
      </c>
      <c r="L151" s="2" t="s">
        <v>43</v>
      </c>
      <c r="M151" s="2" t="s">
        <v>40</v>
      </c>
    </row>
    <row r="152" spans="1:13" x14ac:dyDescent="0.35">
      <c r="A152">
        <v>25</v>
      </c>
      <c r="B152" t="str">
        <f t="shared" si="2"/>
        <v>Young Adults</v>
      </c>
      <c r="C152" t="s">
        <v>13</v>
      </c>
      <c r="D152" t="s">
        <v>15</v>
      </c>
      <c r="E152" t="s">
        <v>19</v>
      </c>
      <c r="F152" t="s">
        <v>26</v>
      </c>
      <c r="G152" t="s">
        <v>33</v>
      </c>
      <c r="H152" t="s">
        <v>37</v>
      </c>
      <c r="I152" s="2" t="s">
        <v>43</v>
      </c>
      <c r="J152" s="2" t="s">
        <v>43</v>
      </c>
      <c r="K152" s="2" t="s">
        <v>42</v>
      </c>
      <c r="L152" s="2" t="s">
        <v>42</v>
      </c>
      <c r="M152" s="2" t="s">
        <v>39</v>
      </c>
    </row>
    <row r="153" spans="1:13" x14ac:dyDescent="0.35">
      <c r="A153">
        <v>40</v>
      </c>
      <c r="B153" t="str">
        <f t="shared" si="2"/>
        <v>Adults</v>
      </c>
      <c r="C153" t="s">
        <v>13</v>
      </c>
      <c r="D153" t="s">
        <v>14</v>
      </c>
      <c r="E153" t="s">
        <v>19</v>
      </c>
      <c r="F153" t="s">
        <v>22</v>
      </c>
      <c r="G153" t="s">
        <v>33</v>
      </c>
      <c r="H153" t="s">
        <v>38</v>
      </c>
      <c r="I153" s="2" t="s">
        <v>45</v>
      </c>
      <c r="J153" s="2" t="s">
        <v>20</v>
      </c>
      <c r="K153" s="2" t="s">
        <v>18</v>
      </c>
      <c r="L153" s="2" t="s">
        <v>18</v>
      </c>
      <c r="M153" s="2" t="s">
        <v>40</v>
      </c>
    </row>
    <row r="154" spans="1:13" x14ac:dyDescent="0.35">
      <c r="A154">
        <v>25</v>
      </c>
      <c r="B154" t="str">
        <f t="shared" si="2"/>
        <v>Young Adults</v>
      </c>
      <c r="C154" t="s">
        <v>13</v>
      </c>
      <c r="D154" t="s">
        <v>16</v>
      </c>
      <c r="E154" t="s">
        <v>18</v>
      </c>
      <c r="F154" t="s">
        <v>32</v>
      </c>
      <c r="G154" t="s">
        <v>34</v>
      </c>
      <c r="H154" t="s">
        <v>38</v>
      </c>
      <c r="I154" s="2" t="s">
        <v>43</v>
      </c>
      <c r="J154" s="2" t="s">
        <v>18</v>
      </c>
      <c r="K154" s="2" t="s">
        <v>43</v>
      </c>
      <c r="L154" s="2" t="s">
        <v>45</v>
      </c>
      <c r="M154" s="2" t="s">
        <v>39</v>
      </c>
    </row>
    <row r="155" spans="1:13" x14ac:dyDescent="0.35">
      <c r="A155">
        <v>35</v>
      </c>
      <c r="B155" t="str">
        <f t="shared" si="2"/>
        <v>Adults</v>
      </c>
      <c r="C155" t="s">
        <v>12</v>
      </c>
      <c r="D155" t="s">
        <v>15</v>
      </c>
      <c r="E155" t="s">
        <v>18</v>
      </c>
      <c r="F155" t="s">
        <v>22</v>
      </c>
      <c r="G155" t="s">
        <v>33</v>
      </c>
      <c r="H155" t="s">
        <v>36</v>
      </c>
      <c r="I155" s="2" t="s">
        <v>18</v>
      </c>
      <c r="J155" s="2" t="s">
        <v>20</v>
      </c>
      <c r="K155" s="2" t="s">
        <v>45</v>
      </c>
      <c r="L155" s="2" t="s">
        <v>42</v>
      </c>
      <c r="M155" s="2" t="s">
        <v>39</v>
      </c>
    </row>
    <row r="156" spans="1:13" x14ac:dyDescent="0.35">
      <c r="A156">
        <v>50</v>
      </c>
      <c r="B156" t="str">
        <f t="shared" si="2"/>
        <v>Adults</v>
      </c>
      <c r="C156" t="s">
        <v>13</v>
      </c>
      <c r="D156" t="s">
        <v>14</v>
      </c>
      <c r="E156" t="s">
        <v>20</v>
      </c>
      <c r="F156" t="s">
        <v>25</v>
      </c>
      <c r="G156" t="s">
        <v>33</v>
      </c>
      <c r="H156" t="s">
        <v>37</v>
      </c>
      <c r="I156" s="2" t="s">
        <v>18</v>
      </c>
      <c r="J156" s="2" t="s">
        <v>20</v>
      </c>
      <c r="K156" s="2" t="s">
        <v>43</v>
      </c>
      <c r="L156" s="2" t="s">
        <v>43</v>
      </c>
      <c r="M156" s="2" t="s">
        <v>40</v>
      </c>
    </row>
    <row r="157" spans="1:13" x14ac:dyDescent="0.35">
      <c r="A157">
        <v>50</v>
      </c>
      <c r="B157" t="str">
        <f t="shared" si="2"/>
        <v>Adults</v>
      </c>
      <c r="C157" t="s">
        <v>13</v>
      </c>
      <c r="D157" t="s">
        <v>17</v>
      </c>
      <c r="E157" t="s">
        <v>18</v>
      </c>
      <c r="F157" t="s">
        <v>32</v>
      </c>
      <c r="G157" t="s">
        <v>34</v>
      </c>
      <c r="H157" t="s">
        <v>37</v>
      </c>
      <c r="I157" s="2" t="s">
        <v>42</v>
      </c>
      <c r="J157" s="2" t="s">
        <v>43</v>
      </c>
      <c r="K157" s="2" t="s">
        <v>42</v>
      </c>
      <c r="L157" s="2" t="s">
        <v>43</v>
      </c>
      <c r="M157" s="2" t="s">
        <v>39</v>
      </c>
    </row>
    <row r="158" spans="1:13" x14ac:dyDescent="0.35">
      <c r="A158">
        <v>30</v>
      </c>
      <c r="B158" t="str">
        <f t="shared" si="2"/>
        <v>Young Adults</v>
      </c>
      <c r="C158" t="s">
        <v>12</v>
      </c>
      <c r="D158" t="s">
        <v>16</v>
      </c>
      <c r="E158" t="s">
        <v>19</v>
      </c>
      <c r="F158" t="s">
        <v>31</v>
      </c>
      <c r="G158" t="s">
        <v>33</v>
      </c>
      <c r="H158" t="s">
        <v>37</v>
      </c>
      <c r="I158" s="2" t="s">
        <v>43</v>
      </c>
      <c r="J158" s="2" t="s">
        <v>42</v>
      </c>
      <c r="K158" s="2" t="s">
        <v>18</v>
      </c>
      <c r="L158" s="2" t="s">
        <v>43</v>
      </c>
      <c r="M158" s="2" t="s">
        <v>40</v>
      </c>
    </row>
    <row r="159" spans="1:13" x14ac:dyDescent="0.35">
      <c r="A159">
        <v>45</v>
      </c>
      <c r="B159" t="str">
        <f t="shared" si="2"/>
        <v>Adults</v>
      </c>
      <c r="C159" t="s">
        <v>13</v>
      </c>
      <c r="D159" t="s">
        <v>14</v>
      </c>
      <c r="E159" t="s">
        <v>20</v>
      </c>
      <c r="F159" t="s">
        <v>22</v>
      </c>
      <c r="G159" t="s">
        <v>33</v>
      </c>
      <c r="H159" t="s">
        <v>38</v>
      </c>
      <c r="I159" s="2" t="s">
        <v>43</v>
      </c>
      <c r="J159" s="2" t="s">
        <v>43</v>
      </c>
      <c r="K159" s="2" t="s">
        <v>45</v>
      </c>
      <c r="L159" s="2" t="s">
        <v>43</v>
      </c>
      <c r="M159" s="2" t="s">
        <v>40</v>
      </c>
    </row>
    <row r="160" spans="1:13" x14ac:dyDescent="0.35">
      <c r="A160">
        <v>35</v>
      </c>
      <c r="B160" t="str">
        <f t="shared" si="2"/>
        <v>Adults</v>
      </c>
      <c r="C160" t="s">
        <v>12</v>
      </c>
      <c r="D160" t="s">
        <v>15</v>
      </c>
      <c r="E160" t="s">
        <v>20</v>
      </c>
      <c r="F160" t="s">
        <v>32</v>
      </c>
      <c r="G160" t="s">
        <v>35</v>
      </c>
      <c r="H160" t="s">
        <v>38</v>
      </c>
      <c r="I160" s="2" t="s">
        <v>43</v>
      </c>
      <c r="J160" s="2" t="s">
        <v>20</v>
      </c>
      <c r="K160" s="2" t="s">
        <v>42</v>
      </c>
      <c r="L160" s="2" t="s">
        <v>43</v>
      </c>
      <c r="M160" s="2" t="s">
        <v>39</v>
      </c>
    </row>
    <row r="161" spans="1:13" x14ac:dyDescent="0.35">
      <c r="A161">
        <v>50</v>
      </c>
      <c r="B161" t="str">
        <f t="shared" si="2"/>
        <v>Adults</v>
      </c>
      <c r="C161" t="s">
        <v>13</v>
      </c>
      <c r="D161" t="s">
        <v>16</v>
      </c>
      <c r="E161" t="s">
        <v>20</v>
      </c>
      <c r="F161" t="s">
        <v>22</v>
      </c>
      <c r="G161" t="s">
        <v>33</v>
      </c>
      <c r="H161" t="s">
        <v>38</v>
      </c>
      <c r="I161" s="2" t="s">
        <v>43</v>
      </c>
      <c r="J161" s="2" t="s">
        <v>43</v>
      </c>
      <c r="K161" s="2" t="s">
        <v>45</v>
      </c>
      <c r="L161" s="2" t="s">
        <v>18</v>
      </c>
      <c r="M161" s="2" t="s">
        <v>40</v>
      </c>
    </row>
    <row r="162" spans="1:13" x14ac:dyDescent="0.35">
      <c r="A162">
        <v>30</v>
      </c>
      <c r="B162" t="str">
        <f t="shared" si="2"/>
        <v>Young Adults</v>
      </c>
      <c r="C162" t="s">
        <v>13</v>
      </c>
      <c r="D162" t="s">
        <v>14</v>
      </c>
      <c r="E162" t="s">
        <v>19</v>
      </c>
      <c r="F162" t="s">
        <v>23</v>
      </c>
      <c r="G162" t="s">
        <v>33</v>
      </c>
      <c r="H162" t="s">
        <v>36</v>
      </c>
      <c r="I162" s="2" t="s">
        <v>18</v>
      </c>
      <c r="J162" s="2" t="s">
        <v>42</v>
      </c>
      <c r="K162" s="2" t="s">
        <v>42</v>
      </c>
      <c r="L162" s="2" t="s">
        <v>42</v>
      </c>
      <c r="M162" s="2" t="s">
        <v>39</v>
      </c>
    </row>
    <row r="163" spans="1:13" x14ac:dyDescent="0.35">
      <c r="A163">
        <v>30</v>
      </c>
      <c r="B163" t="str">
        <f t="shared" si="2"/>
        <v>Young Adults</v>
      </c>
      <c r="C163" t="s">
        <v>12</v>
      </c>
      <c r="D163" t="s">
        <v>14</v>
      </c>
      <c r="E163" t="s">
        <v>18</v>
      </c>
      <c r="F163" t="s">
        <v>28</v>
      </c>
      <c r="G163" t="s">
        <v>33</v>
      </c>
      <c r="H163" t="s">
        <v>37</v>
      </c>
      <c r="I163" s="2" t="s">
        <v>18</v>
      </c>
      <c r="J163" s="2" t="s">
        <v>43</v>
      </c>
      <c r="K163" s="2" t="s">
        <v>45</v>
      </c>
      <c r="L163" s="2" t="s">
        <v>43</v>
      </c>
      <c r="M163" s="2" t="s">
        <v>40</v>
      </c>
    </row>
    <row r="164" spans="1:13" x14ac:dyDescent="0.35">
      <c r="A164">
        <v>22</v>
      </c>
      <c r="B164" t="str">
        <f t="shared" si="2"/>
        <v>Young Adults</v>
      </c>
      <c r="C164" t="s">
        <v>13</v>
      </c>
      <c r="D164" t="s">
        <v>15</v>
      </c>
      <c r="E164" t="s">
        <v>20</v>
      </c>
      <c r="F164" t="s">
        <v>26</v>
      </c>
      <c r="G164" t="s">
        <v>33</v>
      </c>
      <c r="H164" t="s">
        <v>37</v>
      </c>
      <c r="I164" s="2" t="s">
        <v>43</v>
      </c>
      <c r="J164" s="2" t="s">
        <v>20</v>
      </c>
      <c r="K164" s="2" t="s">
        <v>18</v>
      </c>
      <c r="L164" s="2" t="s">
        <v>43</v>
      </c>
      <c r="M164" s="2" t="s">
        <v>40</v>
      </c>
    </row>
    <row r="165" spans="1:13" x14ac:dyDescent="0.35">
      <c r="A165">
        <v>40</v>
      </c>
      <c r="B165" t="str">
        <f t="shared" si="2"/>
        <v>Adults</v>
      </c>
      <c r="C165" t="s">
        <v>12</v>
      </c>
      <c r="D165" t="s">
        <v>14</v>
      </c>
      <c r="E165" t="s">
        <v>19</v>
      </c>
      <c r="F165" t="s">
        <v>22</v>
      </c>
      <c r="G165" t="s">
        <v>35</v>
      </c>
      <c r="H165" t="s">
        <v>38</v>
      </c>
      <c r="I165" s="2" t="s">
        <v>20</v>
      </c>
      <c r="J165" s="2" t="s">
        <v>18</v>
      </c>
      <c r="K165" s="2" t="s">
        <v>42</v>
      </c>
      <c r="L165" s="2" t="s">
        <v>45</v>
      </c>
      <c r="M165" s="2" t="s">
        <v>39</v>
      </c>
    </row>
    <row r="166" spans="1:13" x14ac:dyDescent="0.35">
      <c r="A166">
        <v>55</v>
      </c>
      <c r="B166" t="str">
        <f t="shared" si="2"/>
        <v>Seniors</v>
      </c>
      <c r="C166" t="s">
        <v>12</v>
      </c>
      <c r="D166" t="s">
        <v>16</v>
      </c>
      <c r="E166" t="s">
        <v>19</v>
      </c>
      <c r="F166" t="s">
        <v>28</v>
      </c>
      <c r="G166" t="s">
        <v>33</v>
      </c>
      <c r="H166" t="s">
        <v>38</v>
      </c>
      <c r="I166" s="2" t="s">
        <v>43</v>
      </c>
      <c r="J166" s="2" t="s">
        <v>20</v>
      </c>
      <c r="K166" s="2" t="s">
        <v>43</v>
      </c>
      <c r="L166" s="2" t="s">
        <v>20</v>
      </c>
      <c r="M166" s="2" t="s">
        <v>40</v>
      </c>
    </row>
    <row r="167" spans="1:13" x14ac:dyDescent="0.35">
      <c r="A167">
        <v>50</v>
      </c>
      <c r="B167" t="str">
        <f t="shared" si="2"/>
        <v>Adults</v>
      </c>
      <c r="C167" t="s">
        <v>12</v>
      </c>
      <c r="D167" t="s">
        <v>14</v>
      </c>
      <c r="E167" t="s">
        <v>18</v>
      </c>
      <c r="F167" t="s">
        <v>29</v>
      </c>
      <c r="G167" t="s">
        <v>33</v>
      </c>
      <c r="H167" t="s">
        <v>36</v>
      </c>
      <c r="I167" s="2" t="s">
        <v>43</v>
      </c>
      <c r="J167" s="2" t="s">
        <v>42</v>
      </c>
      <c r="K167" s="2" t="s">
        <v>18</v>
      </c>
      <c r="L167" s="2" t="s">
        <v>18</v>
      </c>
      <c r="M167" s="2" t="s">
        <v>39</v>
      </c>
    </row>
    <row r="168" spans="1:13" x14ac:dyDescent="0.35">
      <c r="A168">
        <v>55</v>
      </c>
      <c r="B168" t="str">
        <f t="shared" si="2"/>
        <v>Seniors</v>
      </c>
      <c r="C168" t="s">
        <v>13</v>
      </c>
      <c r="D168" t="s">
        <v>14</v>
      </c>
      <c r="E168" t="s">
        <v>19</v>
      </c>
      <c r="F168" t="s">
        <v>22</v>
      </c>
      <c r="G168" t="s">
        <v>33</v>
      </c>
      <c r="H168" t="s">
        <v>38</v>
      </c>
      <c r="I168" s="2" t="s">
        <v>43</v>
      </c>
      <c r="J168" s="2" t="s">
        <v>45</v>
      </c>
      <c r="K168" s="2" t="s">
        <v>45</v>
      </c>
      <c r="L168" s="2" t="s">
        <v>45</v>
      </c>
      <c r="M168" s="2" t="s">
        <v>39</v>
      </c>
    </row>
    <row r="169" spans="1:13" x14ac:dyDescent="0.35">
      <c r="A169">
        <v>25</v>
      </c>
      <c r="B169" t="str">
        <f t="shared" si="2"/>
        <v>Young Adults</v>
      </c>
      <c r="C169" t="s">
        <v>13</v>
      </c>
      <c r="D169" t="s">
        <v>16</v>
      </c>
      <c r="E169" t="s">
        <v>20</v>
      </c>
      <c r="F169" t="s">
        <v>27</v>
      </c>
      <c r="G169" t="s">
        <v>33</v>
      </c>
      <c r="H169" t="s">
        <v>37</v>
      </c>
      <c r="I169" s="2" t="s">
        <v>18</v>
      </c>
      <c r="J169" s="2" t="s">
        <v>43</v>
      </c>
      <c r="K169" s="2" t="s">
        <v>42</v>
      </c>
      <c r="L169" s="2" t="s">
        <v>20</v>
      </c>
      <c r="M169" s="2" t="s">
        <v>39</v>
      </c>
    </row>
    <row r="170" spans="1:13" x14ac:dyDescent="0.35">
      <c r="A170">
        <v>55</v>
      </c>
      <c r="B170" t="str">
        <f t="shared" si="2"/>
        <v>Seniors</v>
      </c>
      <c r="C170" t="s">
        <v>12</v>
      </c>
      <c r="D170" t="s">
        <v>15</v>
      </c>
      <c r="E170" t="s">
        <v>20</v>
      </c>
      <c r="F170" t="s">
        <v>25</v>
      </c>
      <c r="G170" t="s">
        <v>33</v>
      </c>
      <c r="H170" t="s">
        <v>38</v>
      </c>
      <c r="I170" s="2" t="s">
        <v>18</v>
      </c>
      <c r="J170" s="2" t="s">
        <v>20</v>
      </c>
      <c r="K170" s="2" t="s">
        <v>45</v>
      </c>
      <c r="L170" s="2" t="s">
        <v>18</v>
      </c>
      <c r="M170" s="2" t="s">
        <v>40</v>
      </c>
    </row>
    <row r="171" spans="1:13" x14ac:dyDescent="0.35">
      <c r="A171">
        <v>25</v>
      </c>
      <c r="B171" t="str">
        <f t="shared" si="2"/>
        <v>Young Adults</v>
      </c>
      <c r="C171" t="s">
        <v>12</v>
      </c>
      <c r="D171" t="s">
        <v>15</v>
      </c>
      <c r="E171" t="s">
        <v>20</v>
      </c>
      <c r="F171" t="s">
        <v>24</v>
      </c>
      <c r="G171" t="s">
        <v>33</v>
      </c>
      <c r="H171" t="s">
        <v>38</v>
      </c>
      <c r="I171" s="2" t="s">
        <v>45</v>
      </c>
      <c r="J171" s="2" t="s">
        <v>18</v>
      </c>
      <c r="K171" s="2" t="s">
        <v>42</v>
      </c>
      <c r="L171" s="2" t="s">
        <v>43</v>
      </c>
      <c r="M171" s="2" t="s">
        <v>39</v>
      </c>
    </row>
    <row r="172" spans="1:13" x14ac:dyDescent="0.35">
      <c r="A172">
        <v>25</v>
      </c>
      <c r="B172" t="str">
        <f t="shared" si="2"/>
        <v>Young Adults</v>
      </c>
      <c r="C172" t="s">
        <v>13</v>
      </c>
      <c r="D172" t="s">
        <v>17</v>
      </c>
      <c r="E172" t="s">
        <v>18</v>
      </c>
      <c r="F172" t="s">
        <v>29</v>
      </c>
      <c r="G172" t="s">
        <v>33</v>
      </c>
      <c r="H172" t="s">
        <v>38</v>
      </c>
      <c r="I172" s="2" t="s">
        <v>18</v>
      </c>
      <c r="J172" s="2" t="s">
        <v>20</v>
      </c>
      <c r="K172" s="2" t="s">
        <v>18</v>
      </c>
      <c r="L172" s="2" t="s">
        <v>20</v>
      </c>
      <c r="M172" s="2" t="s">
        <v>40</v>
      </c>
    </row>
    <row r="173" spans="1:13" x14ac:dyDescent="0.35">
      <c r="A173">
        <v>55</v>
      </c>
      <c r="B173" t="str">
        <f t="shared" si="2"/>
        <v>Seniors</v>
      </c>
      <c r="C173" t="s">
        <v>13</v>
      </c>
      <c r="D173" t="s">
        <v>14</v>
      </c>
      <c r="E173" t="s">
        <v>18</v>
      </c>
      <c r="F173" t="s">
        <v>30</v>
      </c>
      <c r="G173" t="s">
        <v>33</v>
      </c>
      <c r="H173" t="s">
        <v>38</v>
      </c>
      <c r="I173" s="2" t="s">
        <v>45</v>
      </c>
      <c r="J173" s="2" t="s">
        <v>43</v>
      </c>
      <c r="K173" s="2" t="s">
        <v>45</v>
      </c>
      <c r="L173" s="2" t="s">
        <v>45</v>
      </c>
      <c r="M173" s="2" t="s">
        <v>40</v>
      </c>
    </row>
    <row r="174" spans="1:13" x14ac:dyDescent="0.35">
      <c r="A174">
        <v>30</v>
      </c>
      <c r="B174" t="str">
        <f t="shared" si="2"/>
        <v>Young Adults</v>
      </c>
      <c r="C174" t="s">
        <v>13</v>
      </c>
      <c r="D174" t="s">
        <v>14</v>
      </c>
      <c r="E174" t="s">
        <v>20</v>
      </c>
      <c r="F174" t="s">
        <v>28</v>
      </c>
      <c r="G174" t="s">
        <v>34</v>
      </c>
      <c r="H174" t="s">
        <v>38</v>
      </c>
      <c r="I174" s="2" t="s">
        <v>20</v>
      </c>
      <c r="J174" s="2" t="s">
        <v>43</v>
      </c>
      <c r="K174" s="2" t="s">
        <v>43</v>
      </c>
      <c r="L174" s="2" t="s">
        <v>20</v>
      </c>
      <c r="M174" s="2" t="s">
        <v>39</v>
      </c>
    </row>
    <row r="175" spans="1:13" x14ac:dyDescent="0.35">
      <c r="A175">
        <v>35</v>
      </c>
      <c r="B175" t="str">
        <f t="shared" si="2"/>
        <v>Adults</v>
      </c>
      <c r="C175" t="s">
        <v>13</v>
      </c>
      <c r="D175" t="s">
        <v>15</v>
      </c>
      <c r="E175" t="s">
        <v>20</v>
      </c>
      <c r="F175" t="s">
        <v>27</v>
      </c>
      <c r="G175" t="s">
        <v>34</v>
      </c>
      <c r="H175" t="s">
        <v>37</v>
      </c>
      <c r="I175" s="2" t="s">
        <v>20</v>
      </c>
      <c r="J175" s="2" t="s">
        <v>45</v>
      </c>
      <c r="K175" s="2" t="s">
        <v>42</v>
      </c>
      <c r="L175" s="2" t="s">
        <v>20</v>
      </c>
      <c r="M175" s="2" t="s">
        <v>39</v>
      </c>
    </row>
    <row r="176" spans="1:13" x14ac:dyDescent="0.35">
      <c r="A176">
        <v>18</v>
      </c>
      <c r="B176" t="str">
        <f t="shared" si="2"/>
        <v>Young</v>
      </c>
      <c r="C176" t="s">
        <v>12</v>
      </c>
      <c r="D176" t="s">
        <v>17</v>
      </c>
      <c r="E176" t="s">
        <v>19</v>
      </c>
      <c r="F176" t="s">
        <v>22</v>
      </c>
      <c r="G176" t="s">
        <v>33</v>
      </c>
      <c r="H176" t="s">
        <v>37</v>
      </c>
      <c r="I176" s="2" t="s">
        <v>45</v>
      </c>
      <c r="J176" s="2" t="s">
        <v>43</v>
      </c>
      <c r="K176" s="2" t="s">
        <v>18</v>
      </c>
      <c r="L176" s="2" t="s">
        <v>43</v>
      </c>
      <c r="M176" s="2" t="s">
        <v>40</v>
      </c>
    </row>
    <row r="177" spans="1:13" x14ac:dyDescent="0.35">
      <c r="A177">
        <v>25</v>
      </c>
      <c r="B177" t="str">
        <f t="shared" si="2"/>
        <v>Young Adults</v>
      </c>
      <c r="C177" t="s">
        <v>13</v>
      </c>
      <c r="D177" t="s">
        <v>17</v>
      </c>
      <c r="E177" t="s">
        <v>20</v>
      </c>
      <c r="F177" t="s">
        <v>24</v>
      </c>
      <c r="G177" t="s">
        <v>35</v>
      </c>
      <c r="H177" t="s">
        <v>36</v>
      </c>
      <c r="I177" s="2" t="s">
        <v>20</v>
      </c>
      <c r="J177" s="2" t="s">
        <v>45</v>
      </c>
      <c r="K177" s="2" t="s">
        <v>20</v>
      </c>
      <c r="L177" s="2" t="s">
        <v>43</v>
      </c>
      <c r="M177" s="2" t="s">
        <v>39</v>
      </c>
    </row>
    <row r="178" spans="1:13" x14ac:dyDescent="0.35">
      <c r="A178">
        <v>35</v>
      </c>
      <c r="B178" t="str">
        <f t="shared" si="2"/>
        <v>Adults</v>
      </c>
      <c r="C178" t="s">
        <v>12</v>
      </c>
      <c r="D178" t="s">
        <v>17</v>
      </c>
      <c r="E178" t="s">
        <v>20</v>
      </c>
      <c r="F178" t="s">
        <v>22</v>
      </c>
      <c r="G178" t="s">
        <v>33</v>
      </c>
      <c r="H178" t="s">
        <v>37</v>
      </c>
      <c r="I178" s="2" t="s">
        <v>45</v>
      </c>
      <c r="J178" s="2" t="s">
        <v>42</v>
      </c>
      <c r="K178" s="2" t="s">
        <v>43</v>
      </c>
      <c r="L178" s="2" t="s">
        <v>43</v>
      </c>
      <c r="M178" s="2" t="s">
        <v>40</v>
      </c>
    </row>
    <row r="179" spans="1:13" x14ac:dyDescent="0.35">
      <c r="A179">
        <v>35</v>
      </c>
      <c r="B179" t="str">
        <f t="shared" si="2"/>
        <v>Adults</v>
      </c>
      <c r="C179" t="s">
        <v>13</v>
      </c>
      <c r="D179" t="s">
        <v>14</v>
      </c>
      <c r="E179" t="s">
        <v>20</v>
      </c>
      <c r="F179" t="s">
        <v>29</v>
      </c>
      <c r="G179" t="s">
        <v>33</v>
      </c>
      <c r="H179" t="s">
        <v>36</v>
      </c>
      <c r="I179" s="2" t="s">
        <v>20</v>
      </c>
      <c r="J179" s="2" t="s">
        <v>43</v>
      </c>
      <c r="K179" s="2" t="s">
        <v>43</v>
      </c>
      <c r="L179" s="2" t="s">
        <v>18</v>
      </c>
      <c r="M179" s="2" t="s">
        <v>39</v>
      </c>
    </row>
    <row r="180" spans="1:13" x14ac:dyDescent="0.35">
      <c r="A180">
        <v>35</v>
      </c>
      <c r="B180" t="str">
        <f t="shared" si="2"/>
        <v>Adults</v>
      </c>
      <c r="C180" t="s">
        <v>13</v>
      </c>
      <c r="D180" t="s">
        <v>17</v>
      </c>
      <c r="E180" t="s">
        <v>20</v>
      </c>
      <c r="F180" t="s">
        <v>31</v>
      </c>
      <c r="G180" t="s">
        <v>34</v>
      </c>
      <c r="H180" t="s">
        <v>38</v>
      </c>
      <c r="I180" s="2" t="s">
        <v>20</v>
      </c>
      <c r="J180" s="2" t="s">
        <v>45</v>
      </c>
      <c r="K180" s="2" t="s">
        <v>42</v>
      </c>
      <c r="L180" s="2" t="s">
        <v>20</v>
      </c>
      <c r="M180" s="2" t="s">
        <v>39</v>
      </c>
    </row>
    <row r="181" spans="1:13" x14ac:dyDescent="0.35">
      <c r="A181">
        <v>35</v>
      </c>
      <c r="B181" t="str">
        <f t="shared" si="2"/>
        <v>Adults</v>
      </c>
      <c r="C181" t="s">
        <v>12</v>
      </c>
      <c r="D181" t="s">
        <v>14</v>
      </c>
      <c r="E181" t="s">
        <v>20</v>
      </c>
      <c r="F181" t="s">
        <v>24</v>
      </c>
      <c r="G181" t="s">
        <v>33</v>
      </c>
      <c r="H181" t="s">
        <v>38</v>
      </c>
      <c r="I181" s="2" t="s">
        <v>18</v>
      </c>
      <c r="J181" s="2" t="s">
        <v>18</v>
      </c>
      <c r="K181" s="2" t="s">
        <v>43</v>
      </c>
      <c r="L181" s="2" t="s">
        <v>45</v>
      </c>
      <c r="M181" s="2" t="s">
        <v>39</v>
      </c>
    </row>
    <row r="182" spans="1:13" x14ac:dyDescent="0.35">
      <c r="A182">
        <v>35</v>
      </c>
      <c r="B182" t="str">
        <f t="shared" si="2"/>
        <v>Adults</v>
      </c>
      <c r="C182" t="s">
        <v>13</v>
      </c>
      <c r="D182" t="s">
        <v>14</v>
      </c>
      <c r="E182" t="s">
        <v>20</v>
      </c>
      <c r="F182" t="s">
        <v>23</v>
      </c>
      <c r="G182" t="s">
        <v>33</v>
      </c>
      <c r="H182" t="s">
        <v>37</v>
      </c>
      <c r="I182" s="2" t="s">
        <v>45</v>
      </c>
      <c r="J182" s="2" t="s">
        <v>20</v>
      </c>
      <c r="K182" s="2" t="s">
        <v>18</v>
      </c>
      <c r="L182" s="2" t="s">
        <v>43</v>
      </c>
      <c r="M182" s="2" t="s">
        <v>40</v>
      </c>
    </row>
    <row r="183" spans="1:13" x14ac:dyDescent="0.35">
      <c r="A183">
        <v>55</v>
      </c>
      <c r="B183" t="str">
        <f t="shared" si="2"/>
        <v>Seniors</v>
      </c>
      <c r="C183" t="s">
        <v>13</v>
      </c>
      <c r="D183" t="s">
        <v>16</v>
      </c>
      <c r="E183" t="s">
        <v>20</v>
      </c>
      <c r="F183" t="s">
        <v>22</v>
      </c>
      <c r="G183" t="s">
        <v>33</v>
      </c>
      <c r="H183" t="s">
        <v>38</v>
      </c>
      <c r="I183" s="2" t="s">
        <v>18</v>
      </c>
      <c r="J183" s="2" t="s">
        <v>20</v>
      </c>
      <c r="K183" s="2" t="s">
        <v>45</v>
      </c>
      <c r="L183" s="2" t="s">
        <v>45</v>
      </c>
      <c r="M183" s="2" t="s">
        <v>40</v>
      </c>
    </row>
    <row r="184" spans="1:13" x14ac:dyDescent="0.35">
      <c r="A184">
        <v>50</v>
      </c>
      <c r="B184" t="str">
        <f t="shared" si="2"/>
        <v>Adults</v>
      </c>
      <c r="C184" t="s">
        <v>13</v>
      </c>
      <c r="D184" t="s">
        <v>14</v>
      </c>
      <c r="E184" t="s">
        <v>18</v>
      </c>
      <c r="F184" t="s">
        <v>31</v>
      </c>
      <c r="G184" t="s">
        <v>33</v>
      </c>
      <c r="H184" t="s">
        <v>38</v>
      </c>
      <c r="I184" s="2" t="s">
        <v>42</v>
      </c>
      <c r="J184" s="2" t="s">
        <v>43</v>
      </c>
      <c r="K184" s="2" t="s">
        <v>18</v>
      </c>
      <c r="L184" s="2" t="s">
        <v>18</v>
      </c>
      <c r="M184" s="2" t="s">
        <v>39</v>
      </c>
    </row>
    <row r="185" spans="1:13" x14ac:dyDescent="0.35">
      <c r="A185">
        <v>40</v>
      </c>
      <c r="B185" t="str">
        <f t="shared" si="2"/>
        <v>Adults</v>
      </c>
      <c r="C185" t="s">
        <v>12</v>
      </c>
      <c r="D185" t="s">
        <v>15</v>
      </c>
      <c r="E185" t="s">
        <v>19</v>
      </c>
      <c r="F185" t="s">
        <v>23</v>
      </c>
      <c r="G185" t="s">
        <v>34</v>
      </c>
      <c r="H185" t="s">
        <v>37</v>
      </c>
      <c r="I185" s="2" t="s">
        <v>20</v>
      </c>
      <c r="J185" s="2" t="s">
        <v>18</v>
      </c>
      <c r="K185" s="2" t="s">
        <v>20</v>
      </c>
      <c r="L185" s="2" t="s">
        <v>42</v>
      </c>
      <c r="M185" s="2" t="s">
        <v>39</v>
      </c>
    </row>
    <row r="186" spans="1:13" x14ac:dyDescent="0.35">
      <c r="A186">
        <v>22</v>
      </c>
      <c r="B186" t="str">
        <f t="shared" si="2"/>
        <v>Young Adults</v>
      </c>
      <c r="C186" t="s">
        <v>12</v>
      </c>
      <c r="D186" t="s">
        <v>16</v>
      </c>
      <c r="E186" t="s">
        <v>20</v>
      </c>
      <c r="F186" t="s">
        <v>22</v>
      </c>
      <c r="G186" t="s">
        <v>33</v>
      </c>
      <c r="H186" t="s">
        <v>38</v>
      </c>
      <c r="I186" s="2" t="s">
        <v>18</v>
      </c>
      <c r="J186" s="2" t="s">
        <v>20</v>
      </c>
      <c r="K186" s="2" t="s">
        <v>43</v>
      </c>
      <c r="L186" s="2" t="s">
        <v>18</v>
      </c>
      <c r="M186" s="2" t="s">
        <v>40</v>
      </c>
    </row>
    <row r="187" spans="1:13" x14ac:dyDescent="0.35">
      <c r="A187">
        <v>25</v>
      </c>
      <c r="B187" t="str">
        <f t="shared" si="2"/>
        <v>Young Adults</v>
      </c>
      <c r="C187" t="s">
        <v>13</v>
      </c>
      <c r="D187" t="s">
        <v>16</v>
      </c>
      <c r="E187" t="s">
        <v>18</v>
      </c>
      <c r="F187" t="s">
        <v>22</v>
      </c>
      <c r="G187" t="s">
        <v>33</v>
      </c>
      <c r="H187" t="s">
        <v>38</v>
      </c>
      <c r="I187" s="2" t="s">
        <v>18</v>
      </c>
      <c r="J187" s="2" t="s">
        <v>43</v>
      </c>
      <c r="K187" s="2" t="s">
        <v>42</v>
      </c>
      <c r="L187" s="2" t="s">
        <v>20</v>
      </c>
      <c r="M187" s="2" t="s">
        <v>39</v>
      </c>
    </row>
    <row r="188" spans="1:13" x14ac:dyDescent="0.35">
      <c r="A188">
        <v>50</v>
      </c>
      <c r="B188" t="str">
        <f t="shared" si="2"/>
        <v>Adults</v>
      </c>
      <c r="C188" t="s">
        <v>12</v>
      </c>
      <c r="D188" t="s">
        <v>14</v>
      </c>
      <c r="E188" t="s">
        <v>20</v>
      </c>
      <c r="F188" t="s">
        <v>30</v>
      </c>
      <c r="G188" t="s">
        <v>33</v>
      </c>
      <c r="H188" t="s">
        <v>38</v>
      </c>
      <c r="I188" s="2" t="s">
        <v>45</v>
      </c>
      <c r="J188" s="2" t="s">
        <v>42</v>
      </c>
      <c r="K188" s="2" t="s">
        <v>42</v>
      </c>
      <c r="L188" s="2" t="s">
        <v>18</v>
      </c>
      <c r="M188" s="2" t="s">
        <v>39</v>
      </c>
    </row>
    <row r="189" spans="1:13" x14ac:dyDescent="0.35">
      <c r="A189">
        <v>30</v>
      </c>
      <c r="B189" t="str">
        <f t="shared" si="2"/>
        <v>Young Adults</v>
      </c>
      <c r="C189" t="s">
        <v>12</v>
      </c>
      <c r="D189" t="s">
        <v>14</v>
      </c>
      <c r="E189" t="s">
        <v>20</v>
      </c>
      <c r="F189" t="s">
        <v>30</v>
      </c>
      <c r="G189" t="s">
        <v>33</v>
      </c>
      <c r="H189" t="s">
        <v>38</v>
      </c>
      <c r="I189" s="2" t="s">
        <v>45</v>
      </c>
      <c r="J189" s="2" t="s">
        <v>42</v>
      </c>
      <c r="K189" s="2" t="s">
        <v>43</v>
      </c>
      <c r="L189" s="2" t="s">
        <v>43</v>
      </c>
      <c r="M189" s="2" t="s">
        <v>40</v>
      </c>
    </row>
    <row r="190" spans="1:13" x14ac:dyDescent="0.35">
      <c r="A190">
        <v>55</v>
      </c>
      <c r="B190" t="str">
        <f t="shared" si="2"/>
        <v>Seniors</v>
      </c>
      <c r="C190" t="s">
        <v>12</v>
      </c>
      <c r="D190" t="s">
        <v>15</v>
      </c>
      <c r="E190" t="s">
        <v>19</v>
      </c>
      <c r="F190" t="s">
        <v>26</v>
      </c>
      <c r="G190" t="s">
        <v>33</v>
      </c>
      <c r="H190" t="s">
        <v>37</v>
      </c>
      <c r="I190" s="2" t="s">
        <v>43</v>
      </c>
      <c r="J190" s="2" t="s">
        <v>20</v>
      </c>
      <c r="K190" s="2" t="s">
        <v>42</v>
      </c>
      <c r="L190" s="2" t="s">
        <v>18</v>
      </c>
      <c r="M190" s="2" t="s">
        <v>39</v>
      </c>
    </row>
    <row r="191" spans="1:13" x14ac:dyDescent="0.35">
      <c r="A191">
        <v>55</v>
      </c>
      <c r="B191" t="str">
        <f t="shared" si="2"/>
        <v>Seniors</v>
      </c>
      <c r="C191" t="s">
        <v>13</v>
      </c>
      <c r="D191" t="s">
        <v>14</v>
      </c>
      <c r="E191" t="s">
        <v>19</v>
      </c>
      <c r="F191" t="s">
        <v>22</v>
      </c>
      <c r="G191" t="s">
        <v>33</v>
      </c>
      <c r="H191" t="s">
        <v>37</v>
      </c>
      <c r="I191" s="2" t="s">
        <v>45</v>
      </c>
      <c r="J191" s="2" t="s">
        <v>42</v>
      </c>
      <c r="K191" s="2" t="s">
        <v>18</v>
      </c>
      <c r="L191" s="2" t="s">
        <v>43</v>
      </c>
      <c r="M191" s="2" t="s">
        <v>40</v>
      </c>
    </row>
    <row r="192" spans="1:13" x14ac:dyDescent="0.35">
      <c r="A192">
        <v>25</v>
      </c>
      <c r="B192" t="str">
        <f t="shared" si="2"/>
        <v>Young Adults</v>
      </c>
      <c r="C192" t="s">
        <v>13</v>
      </c>
      <c r="D192" t="s">
        <v>17</v>
      </c>
      <c r="E192" t="s">
        <v>20</v>
      </c>
      <c r="F192" t="s">
        <v>32</v>
      </c>
      <c r="G192" t="s">
        <v>34</v>
      </c>
      <c r="H192" t="s">
        <v>38</v>
      </c>
      <c r="I192" s="2" t="s">
        <v>42</v>
      </c>
      <c r="J192" s="2" t="s">
        <v>18</v>
      </c>
      <c r="K192" s="2" t="s">
        <v>20</v>
      </c>
      <c r="L192" s="2" t="s">
        <v>18</v>
      </c>
      <c r="M192" s="2" t="s">
        <v>39</v>
      </c>
    </row>
    <row r="193" spans="1:13" x14ac:dyDescent="0.35">
      <c r="A193">
        <v>18</v>
      </c>
      <c r="B193" t="str">
        <f t="shared" si="2"/>
        <v>Young</v>
      </c>
      <c r="C193" t="s">
        <v>13</v>
      </c>
      <c r="D193" t="s">
        <v>16</v>
      </c>
      <c r="E193" t="s">
        <v>18</v>
      </c>
      <c r="F193" t="s">
        <v>22</v>
      </c>
      <c r="G193" t="s">
        <v>33</v>
      </c>
      <c r="H193" t="s">
        <v>38</v>
      </c>
      <c r="I193" s="2" t="s">
        <v>45</v>
      </c>
      <c r="J193" s="2" t="s">
        <v>42</v>
      </c>
      <c r="K193" s="2" t="s">
        <v>42</v>
      </c>
      <c r="L193" s="2" t="s">
        <v>18</v>
      </c>
      <c r="M193" s="2" t="s">
        <v>39</v>
      </c>
    </row>
    <row r="194" spans="1:13" x14ac:dyDescent="0.35">
      <c r="A194">
        <v>25</v>
      </c>
      <c r="B194" t="str">
        <f t="shared" si="2"/>
        <v>Young Adults</v>
      </c>
      <c r="C194" t="s">
        <v>12</v>
      </c>
      <c r="D194" t="s">
        <v>14</v>
      </c>
      <c r="E194" t="s">
        <v>18</v>
      </c>
      <c r="F194" t="s">
        <v>26</v>
      </c>
      <c r="G194" t="s">
        <v>33</v>
      </c>
      <c r="H194" t="s">
        <v>37</v>
      </c>
      <c r="I194" s="2" t="s">
        <v>43</v>
      </c>
      <c r="J194" s="2" t="s">
        <v>43</v>
      </c>
      <c r="K194" s="2" t="s">
        <v>43</v>
      </c>
      <c r="L194" s="2" t="s">
        <v>43</v>
      </c>
      <c r="M194" s="2" t="s">
        <v>40</v>
      </c>
    </row>
    <row r="195" spans="1:13" x14ac:dyDescent="0.35">
      <c r="A195">
        <v>25</v>
      </c>
      <c r="B195" t="str">
        <f t="shared" ref="B195:B258" si="3">IF(A:A&gt;=55,"Seniors",IF(A:A&gt;=35,"Adults",IF(A:A&gt;=20,"Young Adults",IF(A:A&gt;=18,"Young"))))</f>
        <v>Young Adults</v>
      </c>
      <c r="C195" t="s">
        <v>13</v>
      </c>
      <c r="D195" t="s">
        <v>14</v>
      </c>
      <c r="E195" t="s">
        <v>19</v>
      </c>
      <c r="F195" t="s">
        <v>24</v>
      </c>
      <c r="G195" t="s">
        <v>33</v>
      </c>
      <c r="H195" t="s">
        <v>37</v>
      </c>
      <c r="I195" s="2" t="s">
        <v>18</v>
      </c>
      <c r="J195" s="2" t="s">
        <v>20</v>
      </c>
      <c r="K195" s="2" t="s">
        <v>45</v>
      </c>
      <c r="L195" s="2" t="s">
        <v>43</v>
      </c>
      <c r="M195" s="2" t="s">
        <v>40</v>
      </c>
    </row>
    <row r="196" spans="1:13" x14ac:dyDescent="0.35">
      <c r="A196">
        <v>40</v>
      </c>
      <c r="B196" t="str">
        <f t="shared" si="3"/>
        <v>Adults</v>
      </c>
      <c r="C196" t="s">
        <v>13</v>
      </c>
      <c r="D196" t="s">
        <v>14</v>
      </c>
      <c r="E196" t="s">
        <v>20</v>
      </c>
      <c r="F196" t="s">
        <v>24</v>
      </c>
      <c r="G196" t="s">
        <v>34</v>
      </c>
      <c r="H196" t="s">
        <v>38</v>
      </c>
      <c r="I196" s="2" t="s">
        <v>43</v>
      </c>
      <c r="J196" s="2" t="s">
        <v>18</v>
      </c>
      <c r="K196" s="2" t="s">
        <v>20</v>
      </c>
      <c r="L196" s="2" t="s">
        <v>18</v>
      </c>
      <c r="M196" s="2" t="s">
        <v>39</v>
      </c>
    </row>
    <row r="197" spans="1:13" x14ac:dyDescent="0.35">
      <c r="A197">
        <v>22</v>
      </c>
      <c r="B197" t="str">
        <f t="shared" si="3"/>
        <v>Young Adults</v>
      </c>
      <c r="C197" t="s">
        <v>13</v>
      </c>
      <c r="D197" t="s">
        <v>15</v>
      </c>
      <c r="E197" t="s">
        <v>19</v>
      </c>
      <c r="F197" t="s">
        <v>24</v>
      </c>
      <c r="G197" t="s">
        <v>33</v>
      </c>
      <c r="H197" t="s">
        <v>36</v>
      </c>
      <c r="I197" s="2" t="s">
        <v>18</v>
      </c>
      <c r="J197" s="2" t="s">
        <v>20</v>
      </c>
      <c r="K197" s="2" t="s">
        <v>45</v>
      </c>
      <c r="L197" s="2" t="s">
        <v>43</v>
      </c>
      <c r="M197" s="2" t="s">
        <v>39</v>
      </c>
    </row>
    <row r="198" spans="1:13" x14ac:dyDescent="0.35">
      <c r="A198">
        <v>22</v>
      </c>
      <c r="B198" t="str">
        <f t="shared" si="3"/>
        <v>Young Adults</v>
      </c>
      <c r="C198" t="s">
        <v>13</v>
      </c>
      <c r="D198" t="s">
        <v>14</v>
      </c>
      <c r="E198" t="s">
        <v>20</v>
      </c>
      <c r="F198" t="s">
        <v>22</v>
      </c>
      <c r="G198" t="s">
        <v>33</v>
      </c>
      <c r="H198" t="s">
        <v>38</v>
      </c>
      <c r="I198" s="2" t="s">
        <v>43</v>
      </c>
      <c r="J198" s="2" t="s">
        <v>43</v>
      </c>
      <c r="K198" s="2" t="s">
        <v>43</v>
      </c>
      <c r="L198" s="2" t="s">
        <v>18</v>
      </c>
      <c r="M198" s="2" t="s">
        <v>40</v>
      </c>
    </row>
    <row r="199" spans="1:13" x14ac:dyDescent="0.35">
      <c r="A199">
        <v>22</v>
      </c>
      <c r="B199" t="str">
        <f t="shared" si="3"/>
        <v>Young Adults</v>
      </c>
      <c r="C199" t="s">
        <v>12</v>
      </c>
      <c r="D199" t="s">
        <v>16</v>
      </c>
      <c r="E199" t="s">
        <v>18</v>
      </c>
      <c r="F199" t="s">
        <v>30</v>
      </c>
      <c r="G199" t="s">
        <v>33</v>
      </c>
      <c r="H199" t="s">
        <v>37</v>
      </c>
      <c r="I199" s="2" t="s">
        <v>18</v>
      </c>
      <c r="J199" s="2" t="s">
        <v>43</v>
      </c>
      <c r="K199" s="2" t="s">
        <v>20</v>
      </c>
      <c r="L199" s="2" t="s">
        <v>45</v>
      </c>
      <c r="M199" s="2" t="s">
        <v>39</v>
      </c>
    </row>
    <row r="200" spans="1:13" x14ac:dyDescent="0.35">
      <c r="A200">
        <v>40</v>
      </c>
      <c r="B200" t="str">
        <f t="shared" si="3"/>
        <v>Adults</v>
      </c>
      <c r="C200" t="s">
        <v>13</v>
      </c>
      <c r="D200" t="s">
        <v>15</v>
      </c>
      <c r="E200" t="s">
        <v>19</v>
      </c>
      <c r="F200" t="s">
        <v>24</v>
      </c>
      <c r="G200" t="s">
        <v>33</v>
      </c>
      <c r="H200" t="s">
        <v>38</v>
      </c>
      <c r="I200" s="2" t="s">
        <v>45</v>
      </c>
      <c r="J200" s="2" t="s">
        <v>20</v>
      </c>
      <c r="K200" s="2" t="s">
        <v>18</v>
      </c>
      <c r="L200" s="2" t="s">
        <v>20</v>
      </c>
      <c r="M200" s="2" t="s">
        <v>40</v>
      </c>
    </row>
    <row r="201" spans="1:13" x14ac:dyDescent="0.35">
      <c r="A201">
        <v>60</v>
      </c>
      <c r="B201" t="str">
        <f t="shared" si="3"/>
        <v>Seniors</v>
      </c>
      <c r="C201" t="s">
        <v>12</v>
      </c>
      <c r="D201" t="s">
        <v>15</v>
      </c>
      <c r="E201" t="s">
        <v>19</v>
      </c>
      <c r="F201" t="s">
        <v>27</v>
      </c>
      <c r="G201" t="s">
        <v>33</v>
      </c>
      <c r="H201" t="s">
        <v>37</v>
      </c>
      <c r="I201" s="2" t="s">
        <v>20</v>
      </c>
      <c r="J201" s="2" t="s">
        <v>43</v>
      </c>
      <c r="K201" s="2" t="s">
        <v>18</v>
      </c>
      <c r="L201" s="2" t="s">
        <v>42</v>
      </c>
      <c r="M201" s="2" t="s">
        <v>39</v>
      </c>
    </row>
    <row r="202" spans="1:13" x14ac:dyDescent="0.35">
      <c r="A202">
        <v>22</v>
      </c>
      <c r="B202" t="str">
        <f t="shared" si="3"/>
        <v>Young Adults</v>
      </c>
      <c r="C202" t="s">
        <v>12</v>
      </c>
      <c r="D202" t="s">
        <v>14</v>
      </c>
      <c r="E202" t="s">
        <v>20</v>
      </c>
      <c r="F202" t="s">
        <v>22</v>
      </c>
      <c r="G202" t="s">
        <v>33</v>
      </c>
      <c r="H202" t="s">
        <v>38</v>
      </c>
      <c r="I202" s="2" t="s">
        <v>20</v>
      </c>
      <c r="J202" s="2" t="s">
        <v>18</v>
      </c>
      <c r="K202" s="2" t="s">
        <v>42</v>
      </c>
      <c r="L202" s="2" t="s">
        <v>18</v>
      </c>
      <c r="M202" s="2" t="s">
        <v>39</v>
      </c>
    </row>
    <row r="203" spans="1:13" x14ac:dyDescent="0.35">
      <c r="A203">
        <v>55</v>
      </c>
      <c r="B203" t="str">
        <f t="shared" si="3"/>
        <v>Seniors</v>
      </c>
      <c r="C203" t="s">
        <v>12</v>
      </c>
      <c r="D203" t="s">
        <v>14</v>
      </c>
      <c r="E203" t="s">
        <v>18</v>
      </c>
      <c r="F203" t="s">
        <v>32</v>
      </c>
      <c r="G203" t="s">
        <v>35</v>
      </c>
      <c r="H203" t="s">
        <v>36</v>
      </c>
      <c r="I203" s="2" t="s">
        <v>43</v>
      </c>
      <c r="J203" s="2" t="s">
        <v>45</v>
      </c>
      <c r="K203" s="2" t="s">
        <v>43</v>
      </c>
      <c r="L203" s="2" t="s">
        <v>42</v>
      </c>
      <c r="M203" s="2" t="s">
        <v>39</v>
      </c>
    </row>
    <row r="204" spans="1:13" x14ac:dyDescent="0.35">
      <c r="A204">
        <v>25</v>
      </c>
      <c r="B204" t="str">
        <f t="shared" si="3"/>
        <v>Young Adults</v>
      </c>
      <c r="C204" t="s">
        <v>12</v>
      </c>
      <c r="D204" t="s">
        <v>15</v>
      </c>
      <c r="E204" t="s">
        <v>20</v>
      </c>
      <c r="F204" t="s">
        <v>32</v>
      </c>
      <c r="G204" t="s">
        <v>33</v>
      </c>
      <c r="H204" t="s">
        <v>37</v>
      </c>
      <c r="I204" s="2" t="s">
        <v>18</v>
      </c>
      <c r="J204" s="2" t="s">
        <v>45</v>
      </c>
      <c r="K204" s="2" t="s">
        <v>43</v>
      </c>
      <c r="L204" s="2" t="s">
        <v>45</v>
      </c>
      <c r="M204" s="2" t="s">
        <v>39</v>
      </c>
    </row>
    <row r="205" spans="1:13" x14ac:dyDescent="0.35">
      <c r="A205">
        <v>40</v>
      </c>
      <c r="B205" t="str">
        <f t="shared" si="3"/>
        <v>Adults</v>
      </c>
      <c r="C205" t="s">
        <v>12</v>
      </c>
      <c r="D205" t="s">
        <v>14</v>
      </c>
      <c r="E205" t="s">
        <v>19</v>
      </c>
      <c r="F205" t="s">
        <v>23</v>
      </c>
      <c r="G205" t="s">
        <v>33</v>
      </c>
      <c r="H205" t="s">
        <v>37</v>
      </c>
      <c r="I205" s="2" t="s">
        <v>43</v>
      </c>
      <c r="J205" s="2" t="s">
        <v>42</v>
      </c>
      <c r="K205" s="2" t="s">
        <v>18</v>
      </c>
      <c r="L205" s="2" t="s">
        <v>42</v>
      </c>
      <c r="M205" s="2" t="s">
        <v>40</v>
      </c>
    </row>
    <row r="206" spans="1:13" x14ac:dyDescent="0.35">
      <c r="A206">
        <v>22</v>
      </c>
      <c r="B206" t="str">
        <f t="shared" si="3"/>
        <v>Young Adults</v>
      </c>
      <c r="C206" t="s">
        <v>13</v>
      </c>
      <c r="D206" t="s">
        <v>14</v>
      </c>
      <c r="E206" t="s">
        <v>20</v>
      </c>
      <c r="F206" t="s">
        <v>23</v>
      </c>
      <c r="G206" t="s">
        <v>33</v>
      </c>
      <c r="H206" t="s">
        <v>37</v>
      </c>
      <c r="I206" s="2" t="s">
        <v>18</v>
      </c>
      <c r="J206" s="2" t="s">
        <v>20</v>
      </c>
      <c r="K206" s="2" t="s">
        <v>43</v>
      </c>
      <c r="L206" s="2" t="s">
        <v>43</v>
      </c>
      <c r="M206" s="2" t="s">
        <v>40</v>
      </c>
    </row>
    <row r="207" spans="1:13" x14ac:dyDescent="0.35">
      <c r="A207">
        <v>50</v>
      </c>
      <c r="B207" t="str">
        <f t="shared" si="3"/>
        <v>Adults</v>
      </c>
      <c r="C207" t="s">
        <v>13</v>
      </c>
      <c r="D207" t="s">
        <v>14</v>
      </c>
      <c r="E207" t="s">
        <v>20</v>
      </c>
      <c r="F207" t="s">
        <v>28</v>
      </c>
      <c r="G207" t="s">
        <v>34</v>
      </c>
      <c r="H207" t="s">
        <v>38</v>
      </c>
      <c r="I207" s="2" t="s">
        <v>42</v>
      </c>
      <c r="J207" s="2" t="s">
        <v>43</v>
      </c>
      <c r="K207" s="2" t="s">
        <v>43</v>
      </c>
      <c r="L207" s="2" t="s">
        <v>42</v>
      </c>
      <c r="M207" s="2" t="s">
        <v>39</v>
      </c>
    </row>
    <row r="208" spans="1:13" x14ac:dyDescent="0.35">
      <c r="A208">
        <v>30</v>
      </c>
      <c r="B208" t="str">
        <f t="shared" si="3"/>
        <v>Young Adults</v>
      </c>
      <c r="C208" t="s">
        <v>13</v>
      </c>
      <c r="D208" t="s">
        <v>14</v>
      </c>
      <c r="E208" t="s">
        <v>20</v>
      </c>
      <c r="F208" t="s">
        <v>31</v>
      </c>
      <c r="G208" t="s">
        <v>33</v>
      </c>
      <c r="H208" t="s">
        <v>37</v>
      </c>
      <c r="I208" s="2" t="s">
        <v>18</v>
      </c>
      <c r="J208" s="2" t="s">
        <v>20</v>
      </c>
      <c r="K208" s="2" t="s">
        <v>43</v>
      </c>
      <c r="L208" s="2" t="s">
        <v>42</v>
      </c>
      <c r="M208" s="2" t="s">
        <v>40</v>
      </c>
    </row>
    <row r="209" spans="1:13" x14ac:dyDescent="0.35">
      <c r="A209">
        <v>35</v>
      </c>
      <c r="B209" t="str">
        <f t="shared" si="3"/>
        <v>Adults</v>
      </c>
      <c r="C209" t="s">
        <v>13</v>
      </c>
      <c r="D209" t="s">
        <v>14</v>
      </c>
      <c r="E209" t="s">
        <v>19</v>
      </c>
      <c r="F209" t="s">
        <v>27</v>
      </c>
      <c r="G209" t="s">
        <v>33</v>
      </c>
      <c r="H209" t="s">
        <v>37</v>
      </c>
      <c r="I209" s="2" t="s">
        <v>18</v>
      </c>
      <c r="J209" s="2" t="s">
        <v>42</v>
      </c>
      <c r="K209" s="2" t="s">
        <v>42</v>
      </c>
      <c r="L209" s="2" t="s">
        <v>18</v>
      </c>
      <c r="M209" s="2" t="s">
        <v>39</v>
      </c>
    </row>
    <row r="210" spans="1:13" x14ac:dyDescent="0.35">
      <c r="A210">
        <v>25</v>
      </c>
      <c r="B210" t="str">
        <f t="shared" si="3"/>
        <v>Young Adults</v>
      </c>
      <c r="C210" t="s">
        <v>13</v>
      </c>
      <c r="D210" t="s">
        <v>16</v>
      </c>
      <c r="E210" t="s">
        <v>19</v>
      </c>
      <c r="F210" t="s">
        <v>25</v>
      </c>
      <c r="G210" t="s">
        <v>34</v>
      </c>
      <c r="H210" t="s">
        <v>37</v>
      </c>
      <c r="I210" s="2" t="s">
        <v>20</v>
      </c>
      <c r="J210" s="2" t="s">
        <v>45</v>
      </c>
      <c r="K210" s="2" t="s">
        <v>43</v>
      </c>
      <c r="L210" s="2" t="s">
        <v>42</v>
      </c>
      <c r="M210" s="2" t="s">
        <v>39</v>
      </c>
    </row>
    <row r="211" spans="1:13" x14ac:dyDescent="0.35">
      <c r="A211">
        <v>25</v>
      </c>
      <c r="B211" t="str">
        <f t="shared" si="3"/>
        <v>Young Adults</v>
      </c>
      <c r="C211" t="s">
        <v>13</v>
      </c>
      <c r="D211" t="s">
        <v>14</v>
      </c>
      <c r="E211" t="s">
        <v>20</v>
      </c>
      <c r="F211" t="s">
        <v>30</v>
      </c>
      <c r="G211" t="s">
        <v>33</v>
      </c>
      <c r="H211" t="s">
        <v>38</v>
      </c>
      <c r="I211" s="2" t="s">
        <v>45</v>
      </c>
      <c r="J211" s="2" t="s">
        <v>42</v>
      </c>
      <c r="K211" s="2" t="s">
        <v>45</v>
      </c>
      <c r="L211" s="2" t="s">
        <v>20</v>
      </c>
      <c r="M211" s="2" t="s">
        <v>40</v>
      </c>
    </row>
    <row r="212" spans="1:13" x14ac:dyDescent="0.35">
      <c r="A212">
        <v>25</v>
      </c>
      <c r="B212" t="str">
        <f t="shared" si="3"/>
        <v>Young Adults</v>
      </c>
      <c r="C212" t="s">
        <v>13</v>
      </c>
      <c r="D212" t="s">
        <v>16</v>
      </c>
      <c r="E212" t="s">
        <v>19</v>
      </c>
      <c r="F212" t="s">
        <v>24</v>
      </c>
      <c r="G212" t="s">
        <v>35</v>
      </c>
      <c r="H212" t="s">
        <v>36</v>
      </c>
      <c r="I212" s="2" t="s">
        <v>43</v>
      </c>
      <c r="J212" s="2" t="s">
        <v>43</v>
      </c>
      <c r="K212" s="2" t="s">
        <v>43</v>
      </c>
      <c r="L212" s="2" t="s">
        <v>45</v>
      </c>
      <c r="M212" s="2" t="s">
        <v>39</v>
      </c>
    </row>
    <row r="213" spans="1:13" x14ac:dyDescent="0.35">
      <c r="A213">
        <v>35</v>
      </c>
      <c r="B213" t="str">
        <f t="shared" si="3"/>
        <v>Adults</v>
      </c>
      <c r="C213" t="s">
        <v>12</v>
      </c>
      <c r="D213" t="s">
        <v>15</v>
      </c>
      <c r="E213" t="s">
        <v>19</v>
      </c>
      <c r="F213" t="s">
        <v>30</v>
      </c>
      <c r="G213" t="s">
        <v>33</v>
      </c>
      <c r="H213" t="s">
        <v>38</v>
      </c>
      <c r="I213" s="2" t="s">
        <v>18</v>
      </c>
      <c r="J213" s="2" t="s">
        <v>42</v>
      </c>
      <c r="K213" s="2" t="s">
        <v>20</v>
      </c>
      <c r="L213" s="2" t="s">
        <v>20</v>
      </c>
      <c r="M213" s="2" t="s">
        <v>39</v>
      </c>
    </row>
    <row r="214" spans="1:13" x14ac:dyDescent="0.35">
      <c r="A214">
        <v>18</v>
      </c>
      <c r="B214" t="str">
        <f t="shared" si="3"/>
        <v>Young</v>
      </c>
      <c r="C214" t="s">
        <v>12</v>
      </c>
      <c r="D214" t="s">
        <v>17</v>
      </c>
      <c r="E214" t="s">
        <v>18</v>
      </c>
      <c r="F214" t="s">
        <v>23</v>
      </c>
      <c r="G214" t="s">
        <v>34</v>
      </c>
      <c r="H214" t="s">
        <v>37</v>
      </c>
      <c r="I214" s="2" t="s">
        <v>20</v>
      </c>
      <c r="J214" s="2" t="s">
        <v>18</v>
      </c>
      <c r="K214" s="2" t="s">
        <v>20</v>
      </c>
      <c r="L214" s="2" t="s">
        <v>18</v>
      </c>
      <c r="M214" s="2" t="s">
        <v>39</v>
      </c>
    </row>
    <row r="215" spans="1:13" x14ac:dyDescent="0.35">
      <c r="A215">
        <v>45</v>
      </c>
      <c r="B215" t="str">
        <f t="shared" si="3"/>
        <v>Adults</v>
      </c>
      <c r="C215" t="s">
        <v>12</v>
      </c>
      <c r="D215" t="s">
        <v>16</v>
      </c>
      <c r="E215" t="s">
        <v>19</v>
      </c>
      <c r="F215" t="s">
        <v>27</v>
      </c>
      <c r="G215" t="s">
        <v>33</v>
      </c>
      <c r="H215" t="s">
        <v>38</v>
      </c>
      <c r="I215" s="2" t="s">
        <v>43</v>
      </c>
      <c r="J215" s="2" t="s">
        <v>45</v>
      </c>
      <c r="K215" s="2" t="s">
        <v>43</v>
      </c>
      <c r="L215" s="2" t="s">
        <v>42</v>
      </c>
      <c r="M215" s="2" t="s">
        <v>39</v>
      </c>
    </row>
    <row r="216" spans="1:13" x14ac:dyDescent="0.35">
      <c r="A216">
        <v>25</v>
      </c>
      <c r="B216" t="str">
        <f t="shared" si="3"/>
        <v>Young Adults</v>
      </c>
      <c r="C216" t="s">
        <v>12</v>
      </c>
      <c r="D216" t="s">
        <v>14</v>
      </c>
      <c r="E216" t="s">
        <v>19</v>
      </c>
      <c r="F216" t="s">
        <v>26</v>
      </c>
      <c r="G216" t="s">
        <v>33</v>
      </c>
      <c r="H216" t="s">
        <v>37</v>
      </c>
      <c r="I216" s="2" t="s">
        <v>45</v>
      </c>
      <c r="J216" s="2" t="s">
        <v>20</v>
      </c>
      <c r="K216" s="2" t="s">
        <v>45</v>
      </c>
      <c r="L216" s="2" t="s">
        <v>43</v>
      </c>
      <c r="M216" s="2" t="s">
        <v>40</v>
      </c>
    </row>
    <row r="217" spans="1:13" x14ac:dyDescent="0.35">
      <c r="A217">
        <v>25</v>
      </c>
      <c r="B217" t="str">
        <f t="shared" si="3"/>
        <v>Young Adults</v>
      </c>
      <c r="C217" t="s">
        <v>13</v>
      </c>
      <c r="D217" t="s">
        <v>15</v>
      </c>
      <c r="E217" t="s">
        <v>19</v>
      </c>
      <c r="F217" t="s">
        <v>31</v>
      </c>
      <c r="G217" t="s">
        <v>34</v>
      </c>
      <c r="H217" t="s">
        <v>38</v>
      </c>
      <c r="I217" s="2" t="s">
        <v>20</v>
      </c>
      <c r="J217" s="2" t="s">
        <v>18</v>
      </c>
      <c r="K217" s="2" t="s">
        <v>43</v>
      </c>
      <c r="L217" s="2" t="s">
        <v>42</v>
      </c>
      <c r="M217" s="2" t="s">
        <v>39</v>
      </c>
    </row>
    <row r="218" spans="1:13" x14ac:dyDescent="0.35">
      <c r="A218">
        <v>25</v>
      </c>
      <c r="B218" t="str">
        <f t="shared" si="3"/>
        <v>Young Adults</v>
      </c>
      <c r="C218" t="s">
        <v>13</v>
      </c>
      <c r="D218" t="s">
        <v>17</v>
      </c>
      <c r="E218" t="s">
        <v>19</v>
      </c>
      <c r="F218" t="s">
        <v>30</v>
      </c>
      <c r="G218" t="s">
        <v>33</v>
      </c>
      <c r="H218" t="s">
        <v>38</v>
      </c>
      <c r="I218" s="2" t="s">
        <v>45</v>
      </c>
      <c r="J218" s="2" t="s">
        <v>18</v>
      </c>
      <c r="K218" s="2" t="s">
        <v>18</v>
      </c>
      <c r="L218" s="2" t="s">
        <v>43</v>
      </c>
      <c r="M218" s="2" t="s">
        <v>39</v>
      </c>
    </row>
    <row r="219" spans="1:13" x14ac:dyDescent="0.35">
      <c r="A219">
        <v>18</v>
      </c>
      <c r="B219" t="str">
        <f t="shared" si="3"/>
        <v>Young</v>
      </c>
      <c r="C219" t="s">
        <v>13</v>
      </c>
      <c r="D219" t="s">
        <v>15</v>
      </c>
      <c r="E219" t="s">
        <v>20</v>
      </c>
      <c r="F219" t="s">
        <v>32</v>
      </c>
      <c r="G219" t="s">
        <v>33</v>
      </c>
      <c r="H219" t="s">
        <v>38</v>
      </c>
      <c r="I219" s="2" t="s">
        <v>45</v>
      </c>
      <c r="J219" s="2" t="s">
        <v>45</v>
      </c>
      <c r="K219" s="2" t="s">
        <v>18</v>
      </c>
      <c r="L219" s="2" t="s">
        <v>45</v>
      </c>
      <c r="M219" s="2" t="s">
        <v>39</v>
      </c>
    </row>
    <row r="220" spans="1:13" x14ac:dyDescent="0.35">
      <c r="A220">
        <v>45</v>
      </c>
      <c r="B220" t="str">
        <f t="shared" si="3"/>
        <v>Adults</v>
      </c>
      <c r="C220" t="s">
        <v>12</v>
      </c>
      <c r="D220" t="s">
        <v>15</v>
      </c>
      <c r="E220" t="s">
        <v>19</v>
      </c>
      <c r="F220" t="s">
        <v>22</v>
      </c>
      <c r="G220" t="s">
        <v>33</v>
      </c>
      <c r="H220" t="s">
        <v>38</v>
      </c>
      <c r="I220" s="2" t="s">
        <v>43</v>
      </c>
      <c r="J220" s="2" t="s">
        <v>20</v>
      </c>
      <c r="K220" s="2" t="s">
        <v>43</v>
      </c>
      <c r="L220" s="2" t="s">
        <v>18</v>
      </c>
      <c r="M220" s="2" t="s">
        <v>40</v>
      </c>
    </row>
    <row r="221" spans="1:13" x14ac:dyDescent="0.35">
      <c r="A221">
        <v>22</v>
      </c>
      <c r="B221" t="str">
        <f t="shared" si="3"/>
        <v>Young Adults</v>
      </c>
      <c r="C221" t="s">
        <v>12</v>
      </c>
      <c r="D221" t="s">
        <v>17</v>
      </c>
      <c r="E221" t="s">
        <v>18</v>
      </c>
      <c r="F221" t="s">
        <v>30</v>
      </c>
      <c r="G221" t="s">
        <v>33</v>
      </c>
      <c r="H221" t="s">
        <v>37</v>
      </c>
      <c r="I221" s="2" t="s">
        <v>18</v>
      </c>
      <c r="J221" s="2" t="s">
        <v>42</v>
      </c>
      <c r="K221" s="2" t="s">
        <v>45</v>
      </c>
      <c r="L221" s="2" t="s">
        <v>43</v>
      </c>
      <c r="M221" s="2" t="s">
        <v>40</v>
      </c>
    </row>
    <row r="222" spans="1:13" x14ac:dyDescent="0.35">
      <c r="A222">
        <v>35</v>
      </c>
      <c r="B222" t="str">
        <f t="shared" si="3"/>
        <v>Adults</v>
      </c>
      <c r="C222" t="s">
        <v>12</v>
      </c>
      <c r="D222" t="s">
        <v>14</v>
      </c>
      <c r="E222" t="s">
        <v>20</v>
      </c>
      <c r="F222" t="s">
        <v>21</v>
      </c>
      <c r="G222" t="s">
        <v>34</v>
      </c>
      <c r="H222" t="s">
        <v>38</v>
      </c>
      <c r="I222" s="2" t="s">
        <v>42</v>
      </c>
      <c r="J222" s="2" t="s">
        <v>43</v>
      </c>
      <c r="K222" s="2" t="s">
        <v>43</v>
      </c>
      <c r="L222" s="2" t="s">
        <v>43</v>
      </c>
      <c r="M222" s="2" t="s">
        <v>39</v>
      </c>
    </row>
    <row r="223" spans="1:13" x14ac:dyDescent="0.35">
      <c r="A223">
        <v>60</v>
      </c>
      <c r="B223" t="str">
        <f t="shared" si="3"/>
        <v>Seniors</v>
      </c>
      <c r="C223" t="s">
        <v>13</v>
      </c>
      <c r="D223" t="s">
        <v>15</v>
      </c>
      <c r="E223" t="s">
        <v>19</v>
      </c>
      <c r="F223" t="s">
        <v>30</v>
      </c>
      <c r="G223" t="s">
        <v>33</v>
      </c>
      <c r="H223" t="s">
        <v>38</v>
      </c>
      <c r="I223" s="2" t="s">
        <v>45</v>
      </c>
      <c r="J223" s="2" t="s">
        <v>45</v>
      </c>
      <c r="K223" s="2" t="s">
        <v>43</v>
      </c>
      <c r="L223" s="2" t="s">
        <v>18</v>
      </c>
      <c r="M223" s="2" t="s">
        <v>39</v>
      </c>
    </row>
    <row r="224" spans="1:13" x14ac:dyDescent="0.35">
      <c r="A224">
        <v>25</v>
      </c>
      <c r="B224" t="str">
        <f t="shared" si="3"/>
        <v>Young Adults</v>
      </c>
      <c r="C224" t="s">
        <v>13</v>
      </c>
      <c r="D224" t="s">
        <v>16</v>
      </c>
      <c r="E224" t="s">
        <v>19</v>
      </c>
      <c r="F224" t="s">
        <v>30</v>
      </c>
      <c r="G224" t="s">
        <v>35</v>
      </c>
      <c r="H224" t="s">
        <v>38</v>
      </c>
      <c r="I224" s="2" t="s">
        <v>20</v>
      </c>
      <c r="J224" s="2" t="s">
        <v>18</v>
      </c>
      <c r="K224" s="2" t="s">
        <v>42</v>
      </c>
      <c r="L224" s="2" t="s">
        <v>45</v>
      </c>
      <c r="M224" s="2" t="s">
        <v>39</v>
      </c>
    </row>
    <row r="225" spans="1:13" x14ac:dyDescent="0.35">
      <c r="A225">
        <v>18</v>
      </c>
      <c r="B225" t="str">
        <f t="shared" si="3"/>
        <v>Young</v>
      </c>
      <c r="C225" t="s">
        <v>12</v>
      </c>
      <c r="D225" t="s">
        <v>17</v>
      </c>
      <c r="E225" t="s">
        <v>20</v>
      </c>
      <c r="F225" t="s">
        <v>31</v>
      </c>
      <c r="G225" t="s">
        <v>33</v>
      </c>
      <c r="H225" t="s">
        <v>37</v>
      </c>
      <c r="I225" s="2" t="s">
        <v>45</v>
      </c>
      <c r="J225" s="2" t="s">
        <v>43</v>
      </c>
      <c r="K225" s="2" t="s">
        <v>18</v>
      </c>
      <c r="L225" s="2" t="s">
        <v>42</v>
      </c>
      <c r="M225" s="2" t="s">
        <v>40</v>
      </c>
    </row>
    <row r="226" spans="1:13" x14ac:dyDescent="0.35">
      <c r="A226">
        <v>40</v>
      </c>
      <c r="B226" t="str">
        <f t="shared" si="3"/>
        <v>Adults</v>
      </c>
      <c r="C226" t="s">
        <v>13</v>
      </c>
      <c r="D226" t="s">
        <v>17</v>
      </c>
      <c r="E226" t="s">
        <v>20</v>
      </c>
      <c r="F226" t="s">
        <v>24</v>
      </c>
      <c r="G226" t="s">
        <v>33</v>
      </c>
      <c r="H226" t="s">
        <v>37</v>
      </c>
      <c r="I226" s="2" t="s">
        <v>45</v>
      </c>
      <c r="J226" s="2" t="s">
        <v>42</v>
      </c>
      <c r="K226" s="2" t="s">
        <v>43</v>
      </c>
      <c r="L226" s="2" t="s">
        <v>18</v>
      </c>
      <c r="M226" s="2" t="s">
        <v>40</v>
      </c>
    </row>
    <row r="227" spans="1:13" x14ac:dyDescent="0.35">
      <c r="A227">
        <v>50</v>
      </c>
      <c r="B227" t="str">
        <f t="shared" si="3"/>
        <v>Adults</v>
      </c>
      <c r="C227" t="s">
        <v>13</v>
      </c>
      <c r="D227" t="s">
        <v>14</v>
      </c>
      <c r="E227" t="s">
        <v>18</v>
      </c>
      <c r="F227" t="s">
        <v>32</v>
      </c>
      <c r="G227" t="s">
        <v>35</v>
      </c>
      <c r="H227" t="s">
        <v>36</v>
      </c>
      <c r="I227" s="2" t="s">
        <v>43</v>
      </c>
      <c r="J227" s="2" t="s">
        <v>42</v>
      </c>
      <c r="K227" s="2" t="s">
        <v>43</v>
      </c>
      <c r="L227" s="2" t="s">
        <v>45</v>
      </c>
      <c r="M227" s="2" t="s">
        <v>39</v>
      </c>
    </row>
    <row r="228" spans="1:13" x14ac:dyDescent="0.35">
      <c r="A228">
        <v>25</v>
      </c>
      <c r="B228" t="str">
        <f t="shared" si="3"/>
        <v>Young Adults</v>
      </c>
      <c r="C228" t="s">
        <v>13</v>
      </c>
      <c r="D228" t="s">
        <v>16</v>
      </c>
      <c r="E228" t="s">
        <v>19</v>
      </c>
      <c r="F228" t="s">
        <v>32</v>
      </c>
      <c r="G228" t="s">
        <v>33</v>
      </c>
      <c r="H228" t="s">
        <v>38</v>
      </c>
      <c r="I228" s="2" t="s">
        <v>43</v>
      </c>
      <c r="J228" s="2" t="s">
        <v>20</v>
      </c>
      <c r="K228" s="2" t="s">
        <v>42</v>
      </c>
      <c r="L228" s="2" t="s">
        <v>43</v>
      </c>
      <c r="M228" s="2" t="s">
        <v>39</v>
      </c>
    </row>
    <row r="229" spans="1:13" x14ac:dyDescent="0.35">
      <c r="A229">
        <v>30</v>
      </c>
      <c r="B229" t="str">
        <f t="shared" si="3"/>
        <v>Young Adults</v>
      </c>
      <c r="C229" t="s">
        <v>12</v>
      </c>
      <c r="D229" t="s">
        <v>14</v>
      </c>
      <c r="E229" t="s">
        <v>19</v>
      </c>
      <c r="F229" t="s">
        <v>22</v>
      </c>
      <c r="G229" t="s">
        <v>33</v>
      </c>
      <c r="H229" t="s">
        <v>37</v>
      </c>
      <c r="I229" s="2" t="s">
        <v>18</v>
      </c>
      <c r="J229" s="2" t="s">
        <v>42</v>
      </c>
      <c r="K229" s="2" t="s">
        <v>18</v>
      </c>
      <c r="L229" s="2" t="s">
        <v>18</v>
      </c>
      <c r="M229" s="2" t="s">
        <v>40</v>
      </c>
    </row>
    <row r="230" spans="1:13" x14ac:dyDescent="0.35">
      <c r="A230">
        <v>30</v>
      </c>
      <c r="B230" t="str">
        <f t="shared" si="3"/>
        <v>Young Adults</v>
      </c>
      <c r="C230" t="s">
        <v>12</v>
      </c>
      <c r="D230" t="s">
        <v>14</v>
      </c>
      <c r="E230" t="s">
        <v>19</v>
      </c>
      <c r="F230" t="s">
        <v>21</v>
      </c>
      <c r="G230" t="s">
        <v>33</v>
      </c>
      <c r="H230" t="s">
        <v>38</v>
      </c>
      <c r="I230" s="2" t="s">
        <v>45</v>
      </c>
      <c r="J230" s="2" t="s">
        <v>42</v>
      </c>
      <c r="K230" s="2" t="s">
        <v>18</v>
      </c>
      <c r="L230" s="2" t="s">
        <v>42</v>
      </c>
      <c r="M230" s="2" t="s">
        <v>40</v>
      </c>
    </row>
    <row r="231" spans="1:13" x14ac:dyDescent="0.35">
      <c r="A231">
        <v>50</v>
      </c>
      <c r="B231" t="str">
        <f t="shared" si="3"/>
        <v>Adults</v>
      </c>
      <c r="C231" t="s">
        <v>13</v>
      </c>
      <c r="D231" t="s">
        <v>15</v>
      </c>
      <c r="E231" t="s">
        <v>18</v>
      </c>
      <c r="F231" t="s">
        <v>32</v>
      </c>
      <c r="G231" t="s">
        <v>34</v>
      </c>
      <c r="H231" t="s">
        <v>37</v>
      </c>
      <c r="I231" s="2" t="s">
        <v>42</v>
      </c>
      <c r="J231" s="2" t="s">
        <v>43</v>
      </c>
      <c r="K231" s="2" t="s">
        <v>42</v>
      </c>
      <c r="L231" s="2" t="s">
        <v>18</v>
      </c>
      <c r="M231" s="2" t="s">
        <v>39</v>
      </c>
    </row>
    <row r="232" spans="1:13" x14ac:dyDescent="0.35">
      <c r="A232">
        <v>40</v>
      </c>
      <c r="B232" t="str">
        <f t="shared" si="3"/>
        <v>Adults</v>
      </c>
      <c r="C232" t="s">
        <v>13</v>
      </c>
      <c r="D232" t="s">
        <v>15</v>
      </c>
      <c r="E232" t="s">
        <v>19</v>
      </c>
      <c r="F232" t="s">
        <v>32</v>
      </c>
      <c r="G232" t="s">
        <v>33</v>
      </c>
      <c r="H232" t="s">
        <v>38</v>
      </c>
      <c r="I232" s="2" t="s">
        <v>20</v>
      </c>
      <c r="J232" s="2" t="s">
        <v>43</v>
      </c>
      <c r="K232" s="2" t="s">
        <v>20</v>
      </c>
      <c r="L232" s="2" t="s">
        <v>45</v>
      </c>
      <c r="M232" s="2" t="s">
        <v>39</v>
      </c>
    </row>
    <row r="233" spans="1:13" x14ac:dyDescent="0.35">
      <c r="A233">
        <v>22</v>
      </c>
      <c r="B233" t="str">
        <f t="shared" si="3"/>
        <v>Young Adults</v>
      </c>
      <c r="C233" t="s">
        <v>13</v>
      </c>
      <c r="D233" t="s">
        <v>16</v>
      </c>
      <c r="E233" t="s">
        <v>19</v>
      </c>
      <c r="F233" t="s">
        <v>26</v>
      </c>
      <c r="G233" t="s">
        <v>33</v>
      </c>
      <c r="H233" t="s">
        <v>37</v>
      </c>
      <c r="I233" s="2" t="s">
        <v>18</v>
      </c>
      <c r="J233" s="2" t="s">
        <v>18</v>
      </c>
      <c r="K233" s="2" t="s">
        <v>42</v>
      </c>
      <c r="L233" s="2" t="s">
        <v>43</v>
      </c>
      <c r="M233" s="2" t="s">
        <v>39</v>
      </c>
    </row>
    <row r="234" spans="1:13" x14ac:dyDescent="0.35">
      <c r="A234">
        <v>35</v>
      </c>
      <c r="B234" t="str">
        <f t="shared" si="3"/>
        <v>Adults</v>
      </c>
      <c r="C234" t="s">
        <v>12</v>
      </c>
      <c r="D234" t="s">
        <v>14</v>
      </c>
      <c r="E234" t="s">
        <v>19</v>
      </c>
      <c r="F234" t="s">
        <v>28</v>
      </c>
      <c r="G234" t="s">
        <v>33</v>
      </c>
      <c r="H234" t="s">
        <v>36</v>
      </c>
      <c r="I234" s="2" t="s">
        <v>20</v>
      </c>
      <c r="J234" s="2" t="s">
        <v>18</v>
      </c>
      <c r="K234" s="2" t="s">
        <v>20</v>
      </c>
      <c r="L234" s="2" t="s">
        <v>18</v>
      </c>
      <c r="M234" s="2" t="s">
        <v>39</v>
      </c>
    </row>
    <row r="235" spans="1:13" x14ac:dyDescent="0.35">
      <c r="A235">
        <v>22</v>
      </c>
      <c r="B235" t="str">
        <f t="shared" si="3"/>
        <v>Young Adults</v>
      </c>
      <c r="C235" t="s">
        <v>12</v>
      </c>
      <c r="D235" t="s">
        <v>17</v>
      </c>
      <c r="E235" t="s">
        <v>18</v>
      </c>
      <c r="F235" t="s">
        <v>24</v>
      </c>
      <c r="G235" t="s">
        <v>33</v>
      </c>
      <c r="H235" t="s">
        <v>38</v>
      </c>
      <c r="I235" s="2" t="s">
        <v>45</v>
      </c>
      <c r="J235" s="2" t="s">
        <v>45</v>
      </c>
      <c r="K235" s="2" t="s">
        <v>18</v>
      </c>
      <c r="L235" s="2" t="s">
        <v>20</v>
      </c>
      <c r="M235" s="2" t="s">
        <v>39</v>
      </c>
    </row>
    <row r="236" spans="1:13" x14ac:dyDescent="0.35">
      <c r="A236">
        <v>22</v>
      </c>
      <c r="B236" t="str">
        <f t="shared" si="3"/>
        <v>Young Adults</v>
      </c>
      <c r="C236" t="s">
        <v>12</v>
      </c>
      <c r="D236" t="s">
        <v>17</v>
      </c>
      <c r="E236" t="s">
        <v>18</v>
      </c>
      <c r="F236" t="s">
        <v>30</v>
      </c>
      <c r="G236" t="s">
        <v>34</v>
      </c>
      <c r="H236" t="s">
        <v>37</v>
      </c>
      <c r="I236" s="2" t="s">
        <v>42</v>
      </c>
      <c r="J236" s="2" t="s">
        <v>43</v>
      </c>
      <c r="K236" s="2" t="s">
        <v>42</v>
      </c>
      <c r="L236" s="2" t="s">
        <v>45</v>
      </c>
      <c r="M236" s="2" t="s">
        <v>39</v>
      </c>
    </row>
    <row r="237" spans="1:13" x14ac:dyDescent="0.35">
      <c r="A237">
        <v>25</v>
      </c>
      <c r="B237" t="str">
        <f t="shared" si="3"/>
        <v>Young Adults</v>
      </c>
      <c r="C237" t="s">
        <v>13</v>
      </c>
      <c r="D237" t="s">
        <v>15</v>
      </c>
      <c r="E237" t="s">
        <v>19</v>
      </c>
      <c r="F237" t="s">
        <v>32</v>
      </c>
      <c r="G237" t="s">
        <v>34</v>
      </c>
      <c r="H237" t="s">
        <v>37</v>
      </c>
      <c r="I237" s="2" t="s">
        <v>43</v>
      </c>
      <c r="J237" s="2" t="s">
        <v>20</v>
      </c>
      <c r="K237" s="2" t="s">
        <v>20</v>
      </c>
      <c r="L237" s="2" t="s">
        <v>18</v>
      </c>
      <c r="M237" s="2" t="s">
        <v>39</v>
      </c>
    </row>
    <row r="238" spans="1:13" x14ac:dyDescent="0.35">
      <c r="A238">
        <v>45</v>
      </c>
      <c r="B238" t="str">
        <f t="shared" si="3"/>
        <v>Adults</v>
      </c>
      <c r="C238" t="s">
        <v>12</v>
      </c>
      <c r="D238" t="s">
        <v>14</v>
      </c>
      <c r="E238" t="s">
        <v>20</v>
      </c>
      <c r="F238" t="s">
        <v>23</v>
      </c>
      <c r="G238" t="s">
        <v>33</v>
      </c>
      <c r="H238" t="s">
        <v>38</v>
      </c>
      <c r="I238" s="2" t="s">
        <v>45</v>
      </c>
      <c r="J238" s="2" t="s">
        <v>20</v>
      </c>
      <c r="K238" s="2" t="s">
        <v>42</v>
      </c>
      <c r="L238" s="2" t="s">
        <v>18</v>
      </c>
      <c r="M238" s="2" t="s">
        <v>39</v>
      </c>
    </row>
    <row r="239" spans="1:13" x14ac:dyDescent="0.35">
      <c r="A239">
        <v>50</v>
      </c>
      <c r="B239" t="str">
        <f t="shared" si="3"/>
        <v>Adults</v>
      </c>
      <c r="C239" t="s">
        <v>12</v>
      </c>
      <c r="D239" t="s">
        <v>14</v>
      </c>
      <c r="E239" t="s">
        <v>19</v>
      </c>
      <c r="F239" t="s">
        <v>21</v>
      </c>
      <c r="G239" t="s">
        <v>33</v>
      </c>
      <c r="H239" t="s">
        <v>37</v>
      </c>
      <c r="I239" s="2" t="s">
        <v>43</v>
      </c>
      <c r="J239" s="2" t="s">
        <v>43</v>
      </c>
      <c r="K239" s="2" t="s">
        <v>45</v>
      </c>
      <c r="L239" s="2" t="s">
        <v>42</v>
      </c>
      <c r="M239" s="2" t="s">
        <v>40</v>
      </c>
    </row>
    <row r="240" spans="1:13" x14ac:dyDescent="0.35">
      <c r="A240">
        <v>22</v>
      </c>
      <c r="B240" t="str">
        <f t="shared" si="3"/>
        <v>Young Adults</v>
      </c>
      <c r="C240" t="s">
        <v>12</v>
      </c>
      <c r="D240" t="s">
        <v>14</v>
      </c>
      <c r="E240" t="s">
        <v>18</v>
      </c>
      <c r="F240" t="s">
        <v>30</v>
      </c>
      <c r="G240" t="s">
        <v>33</v>
      </c>
      <c r="H240" t="s">
        <v>37</v>
      </c>
      <c r="I240" s="2" t="s">
        <v>43</v>
      </c>
      <c r="J240" s="2" t="s">
        <v>42</v>
      </c>
      <c r="K240" s="2" t="s">
        <v>42</v>
      </c>
      <c r="L240" s="2" t="s">
        <v>18</v>
      </c>
      <c r="M240" s="2" t="s">
        <v>39</v>
      </c>
    </row>
    <row r="241" spans="1:13" x14ac:dyDescent="0.35">
      <c r="A241">
        <v>30</v>
      </c>
      <c r="B241" t="str">
        <f t="shared" si="3"/>
        <v>Young Adults</v>
      </c>
      <c r="C241" t="s">
        <v>13</v>
      </c>
      <c r="D241" t="s">
        <v>17</v>
      </c>
      <c r="E241" t="s">
        <v>19</v>
      </c>
      <c r="F241" t="s">
        <v>24</v>
      </c>
      <c r="G241" t="s">
        <v>33</v>
      </c>
      <c r="H241" t="s">
        <v>37</v>
      </c>
      <c r="I241" s="2" t="s">
        <v>45</v>
      </c>
      <c r="J241" s="2" t="s">
        <v>43</v>
      </c>
      <c r="K241" s="2" t="s">
        <v>20</v>
      </c>
      <c r="L241" s="2" t="s">
        <v>18</v>
      </c>
      <c r="M241" s="2" t="s">
        <v>39</v>
      </c>
    </row>
    <row r="242" spans="1:13" x14ac:dyDescent="0.35">
      <c r="A242">
        <v>22</v>
      </c>
      <c r="B242" t="str">
        <f t="shared" si="3"/>
        <v>Young Adults</v>
      </c>
      <c r="C242" t="s">
        <v>12</v>
      </c>
      <c r="D242" t="s">
        <v>14</v>
      </c>
      <c r="E242" t="s">
        <v>19</v>
      </c>
      <c r="F242" t="s">
        <v>25</v>
      </c>
      <c r="G242" t="s">
        <v>33</v>
      </c>
      <c r="H242" t="s">
        <v>37</v>
      </c>
      <c r="I242" s="2" t="s">
        <v>18</v>
      </c>
      <c r="J242" s="2" t="s">
        <v>18</v>
      </c>
      <c r="K242" s="2" t="s">
        <v>43</v>
      </c>
      <c r="L242" s="2" t="s">
        <v>43</v>
      </c>
      <c r="M242" s="2" t="s">
        <v>39</v>
      </c>
    </row>
    <row r="243" spans="1:13" x14ac:dyDescent="0.35">
      <c r="A243">
        <v>18</v>
      </c>
      <c r="B243" t="str">
        <f t="shared" si="3"/>
        <v>Young</v>
      </c>
      <c r="C243" t="s">
        <v>13</v>
      </c>
      <c r="D243" t="s">
        <v>15</v>
      </c>
      <c r="E243" t="s">
        <v>20</v>
      </c>
      <c r="F243" t="s">
        <v>22</v>
      </c>
      <c r="G243" t="s">
        <v>33</v>
      </c>
      <c r="H243" t="s">
        <v>38</v>
      </c>
      <c r="I243" s="2" t="s">
        <v>20</v>
      </c>
      <c r="J243" s="2" t="s">
        <v>45</v>
      </c>
      <c r="K243" s="2" t="s">
        <v>42</v>
      </c>
      <c r="L243" s="2" t="s">
        <v>45</v>
      </c>
      <c r="M243" s="2" t="s">
        <v>39</v>
      </c>
    </row>
    <row r="244" spans="1:13" x14ac:dyDescent="0.35">
      <c r="A244">
        <v>30</v>
      </c>
      <c r="B244" t="str">
        <f t="shared" si="3"/>
        <v>Young Adults</v>
      </c>
      <c r="C244" t="s">
        <v>12</v>
      </c>
      <c r="D244" t="s">
        <v>14</v>
      </c>
      <c r="E244" t="s">
        <v>20</v>
      </c>
      <c r="F244" t="s">
        <v>24</v>
      </c>
      <c r="G244" t="s">
        <v>33</v>
      </c>
      <c r="H244" t="s">
        <v>37</v>
      </c>
      <c r="I244" s="2" t="s">
        <v>43</v>
      </c>
      <c r="J244" s="2" t="s">
        <v>43</v>
      </c>
      <c r="K244" s="2" t="s">
        <v>18</v>
      </c>
      <c r="L244" s="2" t="s">
        <v>43</v>
      </c>
      <c r="M244" s="2" t="s">
        <v>40</v>
      </c>
    </row>
    <row r="245" spans="1:13" x14ac:dyDescent="0.35">
      <c r="A245">
        <v>25</v>
      </c>
      <c r="B245" t="str">
        <f t="shared" si="3"/>
        <v>Young Adults</v>
      </c>
      <c r="C245" t="s">
        <v>13</v>
      </c>
      <c r="D245" t="s">
        <v>15</v>
      </c>
      <c r="E245" t="s">
        <v>18</v>
      </c>
      <c r="F245" t="s">
        <v>27</v>
      </c>
      <c r="G245" t="s">
        <v>33</v>
      </c>
      <c r="H245" t="s">
        <v>37</v>
      </c>
      <c r="I245" s="2" t="s">
        <v>18</v>
      </c>
      <c r="J245" s="2" t="s">
        <v>20</v>
      </c>
      <c r="K245" s="2" t="s">
        <v>42</v>
      </c>
      <c r="L245" s="2" t="s">
        <v>18</v>
      </c>
      <c r="M245" s="2" t="s">
        <v>39</v>
      </c>
    </row>
    <row r="246" spans="1:13" x14ac:dyDescent="0.35">
      <c r="A246">
        <v>25</v>
      </c>
      <c r="B246" t="str">
        <f t="shared" si="3"/>
        <v>Young Adults</v>
      </c>
      <c r="C246" t="s">
        <v>13</v>
      </c>
      <c r="D246" t="s">
        <v>17</v>
      </c>
      <c r="E246" t="s">
        <v>19</v>
      </c>
      <c r="F246" t="s">
        <v>30</v>
      </c>
      <c r="G246" t="s">
        <v>33</v>
      </c>
      <c r="H246" t="s">
        <v>38</v>
      </c>
      <c r="I246" s="2" t="s">
        <v>45</v>
      </c>
      <c r="J246" s="2" t="s">
        <v>20</v>
      </c>
      <c r="K246" s="2" t="s">
        <v>45</v>
      </c>
      <c r="L246" s="2" t="s">
        <v>43</v>
      </c>
      <c r="M246" s="2" t="s">
        <v>40</v>
      </c>
    </row>
    <row r="247" spans="1:13" x14ac:dyDescent="0.35">
      <c r="A247">
        <v>35</v>
      </c>
      <c r="B247" t="str">
        <f t="shared" si="3"/>
        <v>Adults</v>
      </c>
      <c r="C247" t="s">
        <v>13</v>
      </c>
      <c r="D247" t="s">
        <v>16</v>
      </c>
      <c r="E247" t="s">
        <v>19</v>
      </c>
      <c r="F247" t="s">
        <v>22</v>
      </c>
      <c r="G247" t="s">
        <v>33</v>
      </c>
      <c r="H247" t="s">
        <v>38</v>
      </c>
      <c r="I247" s="2" t="s">
        <v>43</v>
      </c>
      <c r="J247" s="2" t="s">
        <v>42</v>
      </c>
      <c r="K247" s="2" t="s">
        <v>18</v>
      </c>
      <c r="L247" s="2" t="s">
        <v>20</v>
      </c>
      <c r="M247" s="2" t="s">
        <v>40</v>
      </c>
    </row>
    <row r="248" spans="1:13" x14ac:dyDescent="0.35">
      <c r="A248">
        <v>50</v>
      </c>
      <c r="B248" t="str">
        <f t="shared" si="3"/>
        <v>Adults</v>
      </c>
      <c r="C248" t="s">
        <v>13</v>
      </c>
      <c r="D248" t="s">
        <v>16</v>
      </c>
      <c r="E248" t="s">
        <v>19</v>
      </c>
      <c r="F248" t="s">
        <v>22</v>
      </c>
      <c r="G248" t="s">
        <v>33</v>
      </c>
      <c r="H248" t="s">
        <v>38</v>
      </c>
      <c r="I248" s="2" t="s">
        <v>20</v>
      </c>
      <c r="J248" s="2" t="s">
        <v>18</v>
      </c>
      <c r="K248" s="2" t="s">
        <v>18</v>
      </c>
      <c r="L248" s="2" t="s">
        <v>20</v>
      </c>
      <c r="M248" s="2" t="s">
        <v>39</v>
      </c>
    </row>
    <row r="249" spans="1:13" x14ac:dyDescent="0.35">
      <c r="A249">
        <v>60</v>
      </c>
      <c r="B249" t="str">
        <f t="shared" si="3"/>
        <v>Seniors</v>
      </c>
      <c r="C249" t="s">
        <v>12</v>
      </c>
      <c r="D249" t="s">
        <v>16</v>
      </c>
      <c r="E249" t="s">
        <v>19</v>
      </c>
      <c r="F249" t="s">
        <v>30</v>
      </c>
      <c r="G249" t="s">
        <v>33</v>
      </c>
      <c r="H249" t="s">
        <v>37</v>
      </c>
      <c r="I249" s="2" t="s">
        <v>45</v>
      </c>
      <c r="J249" s="2" t="s">
        <v>43</v>
      </c>
      <c r="K249" s="2" t="s">
        <v>43</v>
      </c>
      <c r="L249" s="2" t="s">
        <v>45</v>
      </c>
      <c r="M249" s="2" t="s">
        <v>40</v>
      </c>
    </row>
    <row r="250" spans="1:13" x14ac:dyDescent="0.35">
      <c r="A250">
        <v>22</v>
      </c>
      <c r="B250" t="str">
        <f t="shared" si="3"/>
        <v>Young Adults</v>
      </c>
      <c r="C250" t="s">
        <v>13</v>
      </c>
      <c r="D250" t="s">
        <v>14</v>
      </c>
      <c r="E250" t="s">
        <v>18</v>
      </c>
      <c r="F250" t="s">
        <v>23</v>
      </c>
      <c r="G250" t="s">
        <v>34</v>
      </c>
      <c r="H250" t="s">
        <v>37</v>
      </c>
      <c r="I250" s="2" t="s">
        <v>20</v>
      </c>
      <c r="J250" s="2" t="s">
        <v>18</v>
      </c>
      <c r="K250" s="2" t="s">
        <v>42</v>
      </c>
      <c r="L250" s="2" t="s">
        <v>20</v>
      </c>
      <c r="M250" s="2" t="s">
        <v>39</v>
      </c>
    </row>
    <row r="251" spans="1:13" x14ac:dyDescent="0.35">
      <c r="A251">
        <v>22</v>
      </c>
      <c r="B251" t="str">
        <f t="shared" si="3"/>
        <v>Young Adults</v>
      </c>
      <c r="C251" t="s">
        <v>12</v>
      </c>
      <c r="D251" t="s">
        <v>14</v>
      </c>
      <c r="E251" t="s">
        <v>18</v>
      </c>
      <c r="F251" t="s">
        <v>29</v>
      </c>
      <c r="G251" t="s">
        <v>34</v>
      </c>
      <c r="H251" t="s">
        <v>37</v>
      </c>
      <c r="I251" s="2" t="s">
        <v>20</v>
      </c>
      <c r="J251" s="2" t="s">
        <v>18</v>
      </c>
      <c r="K251" s="2" t="s">
        <v>20</v>
      </c>
      <c r="L251" s="2" t="s">
        <v>42</v>
      </c>
      <c r="M251" s="2" t="s">
        <v>39</v>
      </c>
    </row>
    <row r="252" spans="1:13" x14ac:dyDescent="0.35">
      <c r="A252">
        <v>30</v>
      </c>
      <c r="B252" t="str">
        <f t="shared" si="3"/>
        <v>Young Adults</v>
      </c>
      <c r="C252" t="s">
        <v>13</v>
      </c>
      <c r="D252" t="s">
        <v>14</v>
      </c>
      <c r="E252" t="s">
        <v>18</v>
      </c>
      <c r="F252" t="s">
        <v>30</v>
      </c>
      <c r="G252" t="s">
        <v>34</v>
      </c>
      <c r="H252" t="s">
        <v>38</v>
      </c>
      <c r="I252" s="2" t="s">
        <v>42</v>
      </c>
      <c r="J252" s="2" t="s">
        <v>45</v>
      </c>
      <c r="K252" s="2" t="s">
        <v>20</v>
      </c>
      <c r="L252" s="2" t="s">
        <v>45</v>
      </c>
      <c r="M252" s="2" t="s">
        <v>39</v>
      </c>
    </row>
    <row r="253" spans="1:13" x14ac:dyDescent="0.35">
      <c r="A253">
        <v>35</v>
      </c>
      <c r="B253" t="str">
        <f t="shared" si="3"/>
        <v>Adults</v>
      </c>
      <c r="C253" t="s">
        <v>13</v>
      </c>
      <c r="D253" t="s">
        <v>14</v>
      </c>
      <c r="E253" t="s">
        <v>20</v>
      </c>
      <c r="F253" t="s">
        <v>26</v>
      </c>
      <c r="G253" t="s">
        <v>35</v>
      </c>
      <c r="H253" t="s">
        <v>37</v>
      </c>
      <c r="I253" s="2" t="s">
        <v>42</v>
      </c>
      <c r="J253" s="2" t="s">
        <v>18</v>
      </c>
      <c r="K253" s="2" t="s">
        <v>20</v>
      </c>
      <c r="L253" s="2" t="s">
        <v>18</v>
      </c>
      <c r="M253" s="2" t="s">
        <v>39</v>
      </c>
    </row>
    <row r="254" spans="1:13" x14ac:dyDescent="0.35">
      <c r="A254">
        <v>18</v>
      </c>
      <c r="B254" t="str">
        <f t="shared" si="3"/>
        <v>Young</v>
      </c>
      <c r="C254" t="s">
        <v>13</v>
      </c>
      <c r="D254" t="s">
        <v>16</v>
      </c>
      <c r="E254" t="s">
        <v>20</v>
      </c>
      <c r="F254" t="s">
        <v>25</v>
      </c>
      <c r="G254" t="s">
        <v>34</v>
      </c>
      <c r="H254" t="s">
        <v>37</v>
      </c>
      <c r="I254" s="2" t="s">
        <v>43</v>
      </c>
      <c r="J254" s="2" t="s">
        <v>45</v>
      </c>
      <c r="K254" s="2" t="s">
        <v>20</v>
      </c>
      <c r="L254" s="2" t="s">
        <v>18</v>
      </c>
      <c r="M254" s="2" t="s">
        <v>39</v>
      </c>
    </row>
    <row r="255" spans="1:13" x14ac:dyDescent="0.35">
      <c r="A255">
        <v>25</v>
      </c>
      <c r="B255" t="str">
        <f t="shared" si="3"/>
        <v>Young Adults</v>
      </c>
      <c r="C255" t="s">
        <v>13</v>
      </c>
      <c r="D255" t="s">
        <v>17</v>
      </c>
      <c r="E255" t="s">
        <v>19</v>
      </c>
      <c r="F255" t="s">
        <v>22</v>
      </c>
      <c r="G255" t="s">
        <v>33</v>
      </c>
      <c r="H255" t="s">
        <v>37</v>
      </c>
      <c r="I255" s="2" t="s">
        <v>45</v>
      </c>
      <c r="J255" s="2" t="s">
        <v>43</v>
      </c>
      <c r="K255" s="2" t="s">
        <v>18</v>
      </c>
      <c r="L255" s="2" t="s">
        <v>42</v>
      </c>
      <c r="M255" s="2" t="s">
        <v>40</v>
      </c>
    </row>
    <row r="256" spans="1:13" x14ac:dyDescent="0.35">
      <c r="A256">
        <v>22</v>
      </c>
      <c r="B256" t="str">
        <f t="shared" si="3"/>
        <v>Young Adults</v>
      </c>
      <c r="C256" t="s">
        <v>13</v>
      </c>
      <c r="D256" t="s">
        <v>15</v>
      </c>
      <c r="E256" t="s">
        <v>18</v>
      </c>
      <c r="F256" t="s">
        <v>27</v>
      </c>
      <c r="G256" t="s">
        <v>34</v>
      </c>
      <c r="H256" t="s">
        <v>38</v>
      </c>
      <c r="I256" s="2" t="s">
        <v>42</v>
      </c>
      <c r="J256" s="2" t="s">
        <v>45</v>
      </c>
      <c r="K256" s="2" t="s">
        <v>20</v>
      </c>
      <c r="L256" s="2" t="s">
        <v>20</v>
      </c>
      <c r="M256" s="2" t="s">
        <v>39</v>
      </c>
    </row>
    <row r="257" spans="1:13" x14ac:dyDescent="0.35">
      <c r="A257">
        <v>35</v>
      </c>
      <c r="B257" t="str">
        <f t="shared" si="3"/>
        <v>Adults</v>
      </c>
      <c r="C257" t="s">
        <v>13</v>
      </c>
      <c r="D257" t="s">
        <v>17</v>
      </c>
      <c r="E257" t="s">
        <v>19</v>
      </c>
      <c r="F257" t="s">
        <v>30</v>
      </c>
      <c r="G257" t="s">
        <v>33</v>
      </c>
      <c r="H257" t="s">
        <v>37</v>
      </c>
      <c r="I257" s="2" t="s">
        <v>42</v>
      </c>
      <c r="J257" s="2" t="s">
        <v>18</v>
      </c>
      <c r="K257" s="2" t="s">
        <v>43</v>
      </c>
      <c r="L257" s="2" t="s">
        <v>43</v>
      </c>
      <c r="M257" s="2" t="s">
        <v>39</v>
      </c>
    </row>
    <row r="258" spans="1:13" x14ac:dyDescent="0.35">
      <c r="A258">
        <v>35</v>
      </c>
      <c r="B258" t="str">
        <f t="shared" si="3"/>
        <v>Adults</v>
      </c>
      <c r="C258" t="s">
        <v>12</v>
      </c>
      <c r="D258" t="s">
        <v>14</v>
      </c>
      <c r="E258" t="s">
        <v>20</v>
      </c>
      <c r="F258" t="s">
        <v>32</v>
      </c>
      <c r="G258" t="s">
        <v>34</v>
      </c>
      <c r="H258" t="s">
        <v>37</v>
      </c>
      <c r="I258" s="2" t="s">
        <v>43</v>
      </c>
      <c r="J258" s="2" t="s">
        <v>43</v>
      </c>
      <c r="K258" s="2" t="s">
        <v>20</v>
      </c>
      <c r="L258" s="2" t="s">
        <v>45</v>
      </c>
      <c r="M258" s="2" t="s">
        <v>39</v>
      </c>
    </row>
    <row r="259" spans="1:13" x14ac:dyDescent="0.35">
      <c r="A259">
        <v>25</v>
      </c>
      <c r="B259" t="str">
        <f t="shared" ref="B259:B276" si="4">IF(A:A&gt;=55,"Seniors",IF(A:A&gt;=35,"Adults",IF(A:A&gt;=20,"Young Adults",IF(A:A&gt;=18,"Young"))))</f>
        <v>Young Adults</v>
      </c>
      <c r="C259" t="s">
        <v>12</v>
      </c>
      <c r="D259" t="s">
        <v>15</v>
      </c>
      <c r="E259" t="s">
        <v>19</v>
      </c>
      <c r="F259" t="s">
        <v>31</v>
      </c>
      <c r="G259" t="s">
        <v>33</v>
      </c>
      <c r="H259" t="s">
        <v>38</v>
      </c>
      <c r="I259" s="2" t="s">
        <v>43</v>
      </c>
      <c r="J259" s="2" t="s">
        <v>42</v>
      </c>
      <c r="K259" s="2" t="s">
        <v>18</v>
      </c>
      <c r="L259" s="2" t="s">
        <v>20</v>
      </c>
      <c r="M259" s="2" t="s">
        <v>40</v>
      </c>
    </row>
    <row r="260" spans="1:13" x14ac:dyDescent="0.35">
      <c r="A260">
        <v>55</v>
      </c>
      <c r="B260" t="str">
        <f t="shared" si="4"/>
        <v>Seniors</v>
      </c>
      <c r="C260" t="s">
        <v>13</v>
      </c>
      <c r="D260" t="s">
        <v>14</v>
      </c>
      <c r="E260" t="s">
        <v>18</v>
      </c>
      <c r="F260" t="s">
        <v>31</v>
      </c>
      <c r="G260" t="s">
        <v>33</v>
      </c>
      <c r="H260" t="s">
        <v>37</v>
      </c>
      <c r="I260" s="2" t="s">
        <v>20</v>
      </c>
      <c r="J260" s="2" t="s">
        <v>45</v>
      </c>
      <c r="K260" s="2" t="s">
        <v>18</v>
      </c>
      <c r="L260" s="2" t="s">
        <v>42</v>
      </c>
      <c r="M260" s="2" t="s">
        <v>39</v>
      </c>
    </row>
    <row r="261" spans="1:13" x14ac:dyDescent="0.35">
      <c r="A261">
        <v>25</v>
      </c>
      <c r="B261" t="str">
        <f t="shared" si="4"/>
        <v>Young Adults</v>
      </c>
      <c r="C261" t="s">
        <v>13</v>
      </c>
      <c r="D261" t="s">
        <v>14</v>
      </c>
      <c r="E261" t="s">
        <v>18</v>
      </c>
      <c r="F261" t="s">
        <v>28</v>
      </c>
      <c r="G261" t="s">
        <v>33</v>
      </c>
      <c r="H261" t="s">
        <v>36</v>
      </c>
      <c r="I261" s="2" t="s">
        <v>45</v>
      </c>
      <c r="J261" s="2" t="s">
        <v>42</v>
      </c>
      <c r="K261" s="2" t="s">
        <v>18</v>
      </c>
      <c r="L261" s="2" t="s">
        <v>42</v>
      </c>
      <c r="M261" s="2" t="s">
        <v>39</v>
      </c>
    </row>
    <row r="262" spans="1:13" x14ac:dyDescent="0.35">
      <c r="A262">
        <v>55</v>
      </c>
      <c r="B262" t="str">
        <f t="shared" si="4"/>
        <v>Seniors</v>
      </c>
      <c r="C262" t="s">
        <v>12</v>
      </c>
      <c r="D262" t="s">
        <v>14</v>
      </c>
      <c r="E262" t="s">
        <v>20</v>
      </c>
      <c r="F262" t="s">
        <v>32</v>
      </c>
      <c r="G262" t="s">
        <v>35</v>
      </c>
      <c r="H262" t="s">
        <v>38</v>
      </c>
      <c r="I262" s="2" t="s">
        <v>42</v>
      </c>
      <c r="J262" s="2" t="s">
        <v>43</v>
      </c>
      <c r="K262" s="2" t="s">
        <v>42</v>
      </c>
      <c r="L262" s="2" t="s">
        <v>45</v>
      </c>
      <c r="M262" s="2" t="s">
        <v>39</v>
      </c>
    </row>
    <row r="263" spans="1:13" x14ac:dyDescent="0.35">
      <c r="A263">
        <v>30</v>
      </c>
      <c r="B263" t="str">
        <f t="shared" si="4"/>
        <v>Young Adults</v>
      </c>
      <c r="C263" t="s">
        <v>12</v>
      </c>
      <c r="D263" t="s">
        <v>15</v>
      </c>
      <c r="E263" t="s">
        <v>19</v>
      </c>
      <c r="F263" t="s">
        <v>25</v>
      </c>
      <c r="G263" t="s">
        <v>33</v>
      </c>
      <c r="H263" t="s">
        <v>37</v>
      </c>
      <c r="I263" s="2" t="s">
        <v>18</v>
      </c>
      <c r="J263" s="2" t="s">
        <v>20</v>
      </c>
      <c r="K263" s="2" t="s">
        <v>42</v>
      </c>
      <c r="L263" s="2" t="s">
        <v>43</v>
      </c>
      <c r="M263" s="2" t="s">
        <v>39</v>
      </c>
    </row>
    <row r="264" spans="1:13" x14ac:dyDescent="0.35">
      <c r="A264">
        <v>45</v>
      </c>
      <c r="B264" t="str">
        <f t="shared" si="4"/>
        <v>Adults</v>
      </c>
      <c r="C264" t="s">
        <v>12</v>
      </c>
      <c r="D264" t="s">
        <v>17</v>
      </c>
      <c r="E264" t="s">
        <v>20</v>
      </c>
      <c r="F264" t="s">
        <v>26</v>
      </c>
      <c r="G264" t="s">
        <v>33</v>
      </c>
      <c r="H264" t="s">
        <v>36</v>
      </c>
      <c r="I264" s="2" t="s">
        <v>43</v>
      </c>
      <c r="J264" s="2" t="s">
        <v>42</v>
      </c>
      <c r="K264" s="2" t="s">
        <v>18</v>
      </c>
      <c r="L264" s="2" t="s">
        <v>18</v>
      </c>
      <c r="M264" s="2" t="s">
        <v>39</v>
      </c>
    </row>
    <row r="265" spans="1:13" x14ac:dyDescent="0.35">
      <c r="A265">
        <v>22</v>
      </c>
      <c r="B265" t="str">
        <f t="shared" si="4"/>
        <v>Young Adults</v>
      </c>
      <c r="C265" t="s">
        <v>13</v>
      </c>
      <c r="D265" t="s">
        <v>17</v>
      </c>
      <c r="E265" t="s">
        <v>20</v>
      </c>
      <c r="F265" t="s">
        <v>22</v>
      </c>
      <c r="G265" t="s">
        <v>33</v>
      </c>
      <c r="H265" t="s">
        <v>38</v>
      </c>
      <c r="I265" s="2" t="s">
        <v>42</v>
      </c>
      <c r="J265" s="2" t="s">
        <v>45</v>
      </c>
      <c r="K265" s="2" t="s">
        <v>42</v>
      </c>
      <c r="L265" s="2" t="s">
        <v>18</v>
      </c>
      <c r="M265" s="2" t="s">
        <v>39</v>
      </c>
    </row>
    <row r="266" spans="1:13" x14ac:dyDescent="0.35">
      <c r="A266">
        <v>22</v>
      </c>
      <c r="B266" t="str">
        <f t="shared" si="4"/>
        <v>Young Adults</v>
      </c>
      <c r="C266" t="s">
        <v>12</v>
      </c>
      <c r="D266" t="s">
        <v>14</v>
      </c>
      <c r="E266" t="s">
        <v>20</v>
      </c>
      <c r="F266" t="s">
        <v>30</v>
      </c>
      <c r="G266" t="s">
        <v>33</v>
      </c>
      <c r="H266" t="s">
        <v>38</v>
      </c>
      <c r="I266" s="2" t="s">
        <v>18</v>
      </c>
      <c r="J266" s="2" t="s">
        <v>42</v>
      </c>
      <c r="K266" s="2" t="s">
        <v>45</v>
      </c>
      <c r="L266" s="2" t="s">
        <v>20</v>
      </c>
      <c r="M266" s="2" t="s">
        <v>40</v>
      </c>
    </row>
    <row r="267" spans="1:13" x14ac:dyDescent="0.35">
      <c r="A267">
        <v>30</v>
      </c>
      <c r="B267" t="str">
        <f t="shared" si="4"/>
        <v>Young Adults</v>
      </c>
      <c r="C267" t="s">
        <v>13</v>
      </c>
      <c r="D267" t="s">
        <v>17</v>
      </c>
      <c r="E267" t="s">
        <v>19</v>
      </c>
      <c r="F267" t="s">
        <v>23</v>
      </c>
      <c r="G267" t="s">
        <v>35</v>
      </c>
      <c r="H267" t="s">
        <v>38</v>
      </c>
      <c r="I267" s="2" t="s">
        <v>20</v>
      </c>
      <c r="J267" s="2" t="s">
        <v>18</v>
      </c>
      <c r="K267" s="2" t="s">
        <v>43</v>
      </c>
      <c r="L267" s="2" t="s">
        <v>42</v>
      </c>
      <c r="M267" s="2" t="s">
        <v>39</v>
      </c>
    </row>
    <row r="268" spans="1:13" x14ac:dyDescent="0.35">
      <c r="A268">
        <v>22</v>
      </c>
      <c r="B268" t="str">
        <f t="shared" si="4"/>
        <v>Young Adults</v>
      </c>
      <c r="C268" t="s">
        <v>12</v>
      </c>
      <c r="D268" t="s">
        <v>14</v>
      </c>
      <c r="E268" t="s">
        <v>19</v>
      </c>
      <c r="F268" t="s">
        <v>24</v>
      </c>
      <c r="G268" t="s">
        <v>33</v>
      </c>
      <c r="H268" t="s">
        <v>37</v>
      </c>
      <c r="I268" s="2" t="s">
        <v>43</v>
      </c>
      <c r="J268" s="2" t="s">
        <v>18</v>
      </c>
      <c r="K268" s="2" t="s">
        <v>18</v>
      </c>
      <c r="L268" s="2" t="s">
        <v>43</v>
      </c>
      <c r="M268" s="2" t="s">
        <v>39</v>
      </c>
    </row>
    <row r="269" spans="1:13" x14ac:dyDescent="0.35">
      <c r="A269">
        <v>30</v>
      </c>
      <c r="B269" t="str">
        <f t="shared" si="4"/>
        <v>Young Adults</v>
      </c>
      <c r="C269" t="s">
        <v>13</v>
      </c>
      <c r="D269" t="s">
        <v>16</v>
      </c>
      <c r="E269" t="s">
        <v>20</v>
      </c>
      <c r="F269" t="s">
        <v>24</v>
      </c>
      <c r="G269" t="s">
        <v>33</v>
      </c>
      <c r="H269" t="s">
        <v>38</v>
      </c>
      <c r="I269" s="2" t="s">
        <v>18</v>
      </c>
      <c r="J269" s="2" t="s">
        <v>43</v>
      </c>
      <c r="K269" s="2" t="s">
        <v>43</v>
      </c>
      <c r="L269" s="2" t="s">
        <v>45</v>
      </c>
      <c r="M269" s="2" t="s">
        <v>40</v>
      </c>
    </row>
    <row r="270" spans="1:13" x14ac:dyDescent="0.35">
      <c r="A270">
        <v>50</v>
      </c>
      <c r="B270" t="str">
        <f t="shared" si="4"/>
        <v>Adults</v>
      </c>
      <c r="C270" t="s">
        <v>12</v>
      </c>
      <c r="D270" t="s">
        <v>14</v>
      </c>
      <c r="E270" t="s">
        <v>20</v>
      </c>
      <c r="F270" t="s">
        <v>32</v>
      </c>
      <c r="G270" t="s">
        <v>33</v>
      </c>
      <c r="H270" t="s">
        <v>38</v>
      </c>
      <c r="I270" s="2" t="s">
        <v>18</v>
      </c>
      <c r="J270" s="2" t="s">
        <v>20</v>
      </c>
      <c r="K270" s="2" t="s">
        <v>18</v>
      </c>
      <c r="L270" s="2" t="s">
        <v>45</v>
      </c>
      <c r="M270" s="2" t="s">
        <v>40</v>
      </c>
    </row>
    <row r="271" spans="1:13" x14ac:dyDescent="0.35">
      <c r="A271">
        <v>30</v>
      </c>
      <c r="B271" t="str">
        <f t="shared" si="4"/>
        <v>Young Adults</v>
      </c>
      <c r="C271" t="s">
        <v>13</v>
      </c>
      <c r="D271" t="s">
        <v>17</v>
      </c>
      <c r="E271" t="s">
        <v>20</v>
      </c>
      <c r="F271" t="s">
        <v>29</v>
      </c>
      <c r="G271" t="s">
        <v>34</v>
      </c>
      <c r="H271" t="s">
        <v>38</v>
      </c>
      <c r="I271" s="2" t="s">
        <v>42</v>
      </c>
      <c r="J271" s="2" t="s">
        <v>45</v>
      </c>
      <c r="K271" s="2" t="s">
        <v>42</v>
      </c>
      <c r="L271" s="2" t="s">
        <v>18</v>
      </c>
      <c r="M271" s="2" t="s">
        <v>39</v>
      </c>
    </row>
    <row r="272" spans="1:13" x14ac:dyDescent="0.35">
      <c r="A272">
        <v>55</v>
      </c>
      <c r="B272" t="str">
        <f t="shared" si="4"/>
        <v>Seniors</v>
      </c>
      <c r="C272" t="s">
        <v>13</v>
      </c>
      <c r="D272" t="s">
        <v>14</v>
      </c>
      <c r="E272" t="s">
        <v>20</v>
      </c>
      <c r="F272" t="s">
        <v>24</v>
      </c>
      <c r="G272" t="s">
        <v>34</v>
      </c>
      <c r="H272" t="s">
        <v>37</v>
      </c>
      <c r="I272" s="2" t="s">
        <v>43</v>
      </c>
      <c r="J272" s="2" t="s">
        <v>42</v>
      </c>
      <c r="K272" s="2" t="s">
        <v>20</v>
      </c>
      <c r="L272" s="2" t="s">
        <v>43</v>
      </c>
      <c r="M272" s="2" t="s">
        <v>39</v>
      </c>
    </row>
    <row r="273" spans="1:13" x14ac:dyDescent="0.35">
      <c r="A273">
        <v>30</v>
      </c>
      <c r="B273" t="str">
        <f t="shared" si="4"/>
        <v>Young Adults</v>
      </c>
      <c r="C273" t="s">
        <v>13</v>
      </c>
      <c r="D273" t="s">
        <v>17</v>
      </c>
      <c r="E273" t="s">
        <v>19</v>
      </c>
      <c r="F273" t="s">
        <v>28</v>
      </c>
      <c r="G273" t="s">
        <v>33</v>
      </c>
      <c r="H273" t="s">
        <v>38</v>
      </c>
      <c r="I273" s="2" t="s">
        <v>43</v>
      </c>
      <c r="J273" s="2" t="s">
        <v>42</v>
      </c>
      <c r="K273" s="2" t="s">
        <v>45</v>
      </c>
      <c r="L273" s="2" t="s">
        <v>18</v>
      </c>
      <c r="M273" s="2" t="s">
        <v>40</v>
      </c>
    </row>
    <row r="274" spans="1:13" x14ac:dyDescent="0.35">
      <c r="A274">
        <v>30</v>
      </c>
      <c r="B274" t="str">
        <f t="shared" si="4"/>
        <v>Young Adults</v>
      </c>
      <c r="C274" t="s">
        <v>12</v>
      </c>
      <c r="D274" t="s">
        <v>15</v>
      </c>
      <c r="E274" t="s">
        <v>20</v>
      </c>
      <c r="F274" t="s">
        <v>32</v>
      </c>
      <c r="G274" t="s">
        <v>33</v>
      </c>
      <c r="H274" t="s">
        <v>38</v>
      </c>
      <c r="I274" s="2" t="s">
        <v>18</v>
      </c>
      <c r="J274" s="2" t="s">
        <v>20</v>
      </c>
      <c r="K274" s="2" t="s">
        <v>18</v>
      </c>
      <c r="L274" s="2" t="s">
        <v>45</v>
      </c>
      <c r="M274" s="2" t="s">
        <v>40</v>
      </c>
    </row>
    <row r="275" spans="1:13" x14ac:dyDescent="0.35">
      <c r="A275">
        <v>18</v>
      </c>
      <c r="B275" t="str">
        <f t="shared" si="4"/>
        <v>Young</v>
      </c>
      <c r="C275" t="s">
        <v>13</v>
      </c>
      <c r="D275" t="s">
        <v>16</v>
      </c>
      <c r="E275" t="s">
        <v>19</v>
      </c>
      <c r="F275" t="s">
        <v>24</v>
      </c>
      <c r="G275" t="s">
        <v>33</v>
      </c>
      <c r="H275" t="s">
        <v>37</v>
      </c>
      <c r="I275" s="2" t="s">
        <v>45</v>
      </c>
      <c r="J275" s="2" t="s">
        <v>43</v>
      </c>
      <c r="K275" s="2" t="s">
        <v>43</v>
      </c>
      <c r="L275" s="2" t="s">
        <v>20</v>
      </c>
      <c r="M275" s="2" t="s">
        <v>40</v>
      </c>
    </row>
    <row r="276" spans="1:13" x14ac:dyDescent="0.35">
      <c r="A276">
        <v>25</v>
      </c>
      <c r="B276" t="str">
        <f t="shared" si="4"/>
        <v>Young Adults</v>
      </c>
      <c r="C276" t="s">
        <v>12</v>
      </c>
      <c r="D276" t="s">
        <v>17</v>
      </c>
      <c r="E276" t="s">
        <v>20</v>
      </c>
      <c r="F276" t="s">
        <v>24</v>
      </c>
      <c r="G276" t="s">
        <v>33</v>
      </c>
      <c r="H276" t="s">
        <v>37</v>
      </c>
      <c r="I276" s="2" t="s">
        <v>43</v>
      </c>
      <c r="J276" s="2" t="s">
        <v>20</v>
      </c>
      <c r="K276" s="2" t="s">
        <v>20</v>
      </c>
      <c r="L276" s="2" t="s">
        <v>43</v>
      </c>
      <c r="M276" s="2" t="s">
        <v>39</v>
      </c>
    </row>
  </sheetData>
  <autoFilter ref="A1:M276" xr:uid="{F635ABF0-5F09-463C-BCAF-B737221C58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83D3-8000-43A2-89C4-ADA03F399137}">
  <dimension ref="A3:E118"/>
  <sheetViews>
    <sheetView topLeftCell="A99" zoomScale="82" workbookViewId="0">
      <selection activeCell="K110" sqref="K110"/>
    </sheetView>
  </sheetViews>
  <sheetFormatPr defaultRowHeight="14.5" x14ac:dyDescent="0.35"/>
  <cols>
    <col min="1" max="1" width="13.08984375" bestFit="1" customWidth="1"/>
    <col min="2" max="2" width="14.6328125" bestFit="1" customWidth="1"/>
    <col min="3" max="3" width="4.453125" bestFit="1" customWidth="1"/>
    <col min="4" max="4" width="8.08984375" bestFit="1" customWidth="1"/>
    <col min="5" max="5" width="10.7265625" bestFit="1" customWidth="1"/>
    <col min="6" max="6" width="19.453125" bestFit="1" customWidth="1"/>
    <col min="7" max="7" width="32.26953125" bestFit="1" customWidth="1"/>
    <col min="8" max="8" width="9.7265625" bestFit="1" customWidth="1"/>
    <col min="9" max="9" width="3.7265625" bestFit="1" customWidth="1"/>
    <col min="10" max="10" width="12.7265625" bestFit="1" customWidth="1"/>
    <col min="11" max="11" width="10.7265625" bestFit="1" customWidth="1"/>
    <col min="12" max="12" width="16.08984375" bestFit="1" customWidth="1"/>
    <col min="13" max="13" width="10.7265625" bestFit="1" customWidth="1"/>
  </cols>
  <sheetData>
    <row r="3" spans="1:4" x14ac:dyDescent="0.35">
      <c r="A3" s="3" t="s">
        <v>56</v>
      </c>
      <c r="B3" s="3" t="s">
        <v>55</v>
      </c>
    </row>
    <row r="4" spans="1:4" x14ac:dyDescent="0.35">
      <c r="A4" s="3" t="s">
        <v>49</v>
      </c>
      <c r="B4" t="s">
        <v>39</v>
      </c>
      <c r="C4" t="s">
        <v>40</v>
      </c>
      <c r="D4" t="s">
        <v>54</v>
      </c>
    </row>
    <row r="5" spans="1:4" x14ac:dyDescent="0.35">
      <c r="A5" s="4" t="s">
        <v>50</v>
      </c>
      <c r="B5" s="6">
        <v>64</v>
      </c>
      <c r="C5" s="6">
        <v>26</v>
      </c>
      <c r="D5" s="6">
        <v>90</v>
      </c>
    </row>
    <row r="6" spans="1:4" x14ac:dyDescent="0.35">
      <c r="A6" s="4" t="s">
        <v>51</v>
      </c>
      <c r="B6" s="6">
        <v>17</v>
      </c>
      <c r="C6" s="6">
        <v>10</v>
      </c>
      <c r="D6" s="6">
        <v>27</v>
      </c>
    </row>
    <row r="7" spans="1:4" x14ac:dyDescent="0.35">
      <c r="A7" s="4" t="s">
        <v>52</v>
      </c>
      <c r="B7" s="6">
        <v>20</v>
      </c>
      <c r="C7" s="6">
        <v>9</v>
      </c>
      <c r="D7" s="6">
        <v>29</v>
      </c>
    </row>
    <row r="8" spans="1:4" x14ac:dyDescent="0.35">
      <c r="A8" s="4" t="s">
        <v>53</v>
      </c>
      <c r="B8" s="6">
        <v>77</v>
      </c>
      <c r="C8" s="6">
        <v>52</v>
      </c>
      <c r="D8" s="6">
        <v>129</v>
      </c>
    </row>
    <row r="9" spans="1:4" x14ac:dyDescent="0.35">
      <c r="A9" s="4" t="s">
        <v>54</v>
      </c>
      <c r="B9" s="6">
        <v>178</v>
      </c>
      <c r="C9" s="6">
        <v>97</v>
      </c>
      <c r="D9" s="6">
        <v>275</v>
      </c>
    </row>
    <row r="24" spans="1:5" x14ac:dyDescent="0.35">
      <c r="A24" s="3" t="s">
        <v>57</v>
      </c>
      <c r="B24" s="3" t="s">
        <v>55</v>
      </c>
    </row>
    <row r="25" spans="1:5" x14ac:dyDescent="0.35">
      <c r="A25" s="3" t="s">
        <v>49</v>
      </c>
      <c r="B25" t="s">
        <v>37</v>
      </c>
      <c r="C25" t="s">
        <v>36</v>
      </c>
      <c r="D25" t="s">
        <v>38</v>
      </c>
      <c r="E25" t="s">
        <v>54</v>
      </c>
    </row>
    <row r="26" spans="1:5" x14ac:dyDescent="0.35">
      <c r="A26" s="4" t="s">
        <v>28</v>
      </c>
      <c r="B26" s="6">
        <v>11</v>
      </c>
      <c r="C26" s="6">
        <v>2</v>
      </c>
      <c r="D26" s="6">
        <v>8</v>
      </c>
      <c r="E26" s="6">
        <v>21</v>
      </c>
    </row>
    <row r="27" spans="1:5" x14ac:dyDescent="0.35">
      <c r="A27" s="4" t="s">
        <v>21</v>
      </c>
      <c r="B27" s="6">
        <v>4</v>
      </c>
      <c r="C27" s="6">
        <v>2</v>
      </c>
      <c r="D27" s="6">
        <v>4</v>
      </c>
      <c r="E27" s="6">
        <v>10</v>
      </c>
    </row>
    <row r="28" spans="1:5" x14ac:dyDescent="0.35">
      <c r="A28" s="4" t="s">
        <v>22</v>
      </c>
      <c r="B28" s="6">
        <v>14</v>
      </c>
      <c r="C28" s="6">
        <v>3</v>
      </c>
      <c r="D28" s="6">
        <v>26</v>
      </c>
      <c r="E28" s="6">
        <v>43</v>
      </c>
    </row>
    <row r="29" spans="1:5" x14ac:dyDescent="0.35">
      <c r="A29" s="4" t="s">
        <v>24</v>
      </c>
      <c r="B29" s="6">
        <v>17</v>
      </c>
      <c r="C29" s="6">
        <v>6</v>
      </c>
      <c r="D29" s="6">
        <v>15</v>
      </c>
      <c r="E29" s="6">
        <v>38</v>
      </c>
    </row>
    <row r="30" spans="1:5" x14ac:dyDescent="0.35">
      <c r="A30" s="4" t="s">
        <v>30</v>
      </c>
      <c r="B30" s="6">
        <v>12</v>
      </c>
      <c r="C30" s="6">
        <v>5</v>
      </c>
      <c r="D30" s="6">
        <v>21</v>
      </c>
      <c r="E30" s="6">
        <v>38</v>
      </c>
    </row>
    <row r="31" spans="1:5" x14ac:dyDescent="0.35">
      <c r="A31" s="4" t="s">
        <v>31</v>
      </c>
      <c r="B31" s="6">
        <v>6</v>
      </c>
      <c r="C31" s="6">
        <v>2</v>
      </c>
      <c r="D31" s="6">
        <v>5</v>
      </c>
      <c r="E31" s="6">
        <v>13</v>
      </c>
    </row>
    <row r="32" spans="1:5" x14ac:dyDescent="0.35">
      <c r="A32" s="4" t="s">
        <v>23</v>
      </c>
      <c r="B32" s="6">
        <v>9</v>
      </c>
      <c r="C32" s="6">
        <v>1</v>
      </c>
      <c r="D32" s="6">
        <v>7</v>
      </c>
      <c r="E32" s="6">
        <v>17</v>
      </c>
    </row>
    <row r="33" spans="1:5" x14ac:dyDescent="0.35">
      <c r="A33" s="4" t="s">
        <v>32</v>
      </c>
      <c r="B33" s="6">
        <v>11</v>
      </c>
      <c r="C33" s="6">
        <v>2</v>
      </c>
      <c r="D33" s="6">
        <v>19</v>
      </c>
      <c r="E33" s="6">
        <v>32</v>
      </c>
    </row>
    <row r="34" spans="1:5" x14ac:dyDescent="0.35">
      <c r="A34" s="4" t="s">
        <v>29</v>
      </c>
      <c r="B34" s="6">
        <v>7</v>
      </c>
      <c r="C34" s="6">
        <v>2</v>
      </c>
      <c r="D34" s="6">
        <v>8</v>
      </c>
      <c r="E34" s="6">
        <v>17</v>
      </c>
    </row>
    <row r="35" spans="1:5" x14ac:dyDescent="0.35">
      <c r="A35" s="4" t="s">
        <v>25</v>
      </c>
      <c r="B35" s="6">
        <v>10</v>
      </c>
      <c r="C35" s="6">
        <v>1</v>
      </c>
      <c r="D35" s="6">
        <v>6</v>
      </c>
      <c r="E35" s="6">
        <v>17</v>
      </c>
    </row>
    <row r="36" spans="1:5" x14ac:dyDescent="0.35">
      <c r="A36" s="4" t="s">
        <v>26</v>
      </c>
      <c r="B36" s="6">
        <v>8</v>
      </c>
      <c r="C36" s="6">
        <v>3</v>
      </c>
      <c r="D36" s="6">
        <v>2</v>
      </c>
      <c r="E36" s="6">
        <v>13</v>
      </c>
    </row>
    <row r="37" spans="1:5" x14ac:dyDescent="0.35">
      <c r="A37" s="4" t="s">
        <v>27</v>
      </c>
      <c r="B37" s="6">
        <v>7</v>
      </c>
      <c r="C37" s="6"/>
      <c r="D37" s="6">
        <v>9</v>
      </c>
      <c r="E37" s="6">
        <v>16</v>
      </c>
    </row>
    <row r="38" spans="1:5" x14ac:dyDescent="0.35">
      <c r="A38" s="4" t="s">
        <v>54</v>
      </c>
      <c r="B38" s="6">
        <v>116</v>
      </c>
      <c r="C38" s="6">
        <v>29</v>
      </c>
      <c r="D38" s="6">
        <v>130</v>
      </c>
      <c r="E38" s="6">
        <v>275</v>
      </c>
    </row>
    <row r="50" spans="1:5" x14ac:dyDescent="0.35">
      <c r="A50" s="3" t="s">
        <v>58</v>
      </c>
      <c r="B50" s="3" t="s">
        <v>55</v>
      </c>
    </row>
    <row r="51" spans="1:5" x14ac:dyDescent="0.35">
      <c r="A51" s="3" t="s">
        <v>49</v>
      </c>
      <c r="B51" t="s">
        <v>18</v>
      </c>
      <c r="C51" t="s">
        <v>20</v>
      </c>
      <c r="D51" t="s">
        <v>19</v>
      </c>
      <c r="E51" t="s">
        <v>54</v>
      </c>
    </row>
    <row r="52" spans="1:5" x14ac:dyDescent="0.35">
      <c r="A52" s="4" t="s">
        <v>34</v>
      </c>
      <c r="B52" s="6">
        <v>15</v>
      </c>
      <c r="C52" s="6">
        <v>18</v>
      </c>
      <c r="D52" s="6">
        <v>16</v>
      </c>
      <c r="E52" s="6">
        <v>49</v>
      </c>
    </row>
    <row r="53" spans="1:5" x14ac:dyDescent="0.35">
      <c r="A53" s="4" t="s">
        <v>35</v>
      </c>
      <c r="B53" s="6">
        <v>5</v>
      </c>
      <c r="C53" s="6">
        <v>6</v>
      </c>
      <c r="D53" s="6">
        <v>7</v>
      </c>
      <c r="E53" s="6">
        <v>18</v>
      </c>
    </row>
    <row r="54" spans="1:5" x14ac:dyDescent="0.35">
      <c r="A54" s="4" t="s">
        <v>33</v>
      </c>
      <c r="B54" s="6">
        <v>49</v>
      </c>
      <c r="C54" s="6">
        <v>63</v>
      </c>
      <c r="D54" s="6">
        <v>96</v>
      </c>
      <c r="E54" s="6">
        <v>208</v>
      </c>
    </row>
    <row r="55" spans="1:5" x14ac:dyDescent="0.35">
      <c r="A55" s="4" t="s">
        <v>54</v>
      </c>
      <c r="B55" s="6">
        <v>69</v>
      </c>
      <c r="C55" s="6">
        <v>87</v>
      </c>
      <c r="D55" s="6">
        <v>119</v>
      </c>
      <c r="E55" s="6">
        <v>275</v>
      </c>
    </row>
    <row r="72" spans="1:4" x14ac:dyDescent="0.35">
      <c r="A72" s="5"/>
      <c r="B72" s="5" t="s">
        <v>37</v>
      </c>
      <c r="C72" s="5" t="s">
        <v>36</v>
      </c>
      <c r="D72" s="5" t="s">
        <v>38</v>
      </c>
    </row>
    <row r="73" spans="1:4" x14ac:dyDescent="0.35">
      <c r="A73" s="4" t="s">
        <v>28</v>
      </c>
      <c r="B73" s="6">
        <v>11</v>
      </c>
      <c r="C73" s="6">
        <v>2</v>
      </c>
      <c r="D73" s="6">
        <v>8</v>
      </c>
    </row>
    <row r="74" spans="1:4" x14ac:dyDescent="0.35">
      <c r="A74" s="4" t="s">
        <v>21</v>
      </c>
      <c r="B74" s="6">
        <v>4</v>
      </c>
      <c r="C74" s="6">
        <v>2</v>
      </c>
      <c r="D74" s="6">
        <v>4</v>
      </c>
    </row>
    <row r="75" spans="1:4" x14ac:dyDescent="0.35">
      <c r="A75" s="4" t="s">
        <v>22</v>
      </c>
      <c r="B75" s="6">
        <v>14</v>
      </c>
      <c r="C75" s="6">
        <v>3</v>
      </c>
      <c r="D75" s="6">
        <v>26</v>
      </c>
    </row>
    <row r="76" spans="1:4" x14ac:dyDescent="0.35">
      <c r="A76" s="4" t="s">
        <v>24</v>
      </c>
      <c r="B76" s="6">
        <v>17</v>
      </c>
      <c r="C76" s="6">
        <v>6</v>
      </c>
      <c r="D76" s="6">
        <v>15</v>
      </c>
    </row>
    <row r="77" spans="1:4" x14ac:dyDescent="0.35">
      <c r="A77" s="4" t="s">
        <v>30</v>
      </c>
      <c r="B77" s="6">
        <v>12</v>
      </c>
      <c r="C77" s="6">
        <v>5</v>
      </c>
      <c r="D77" s="6">
        <v>21</v>
      </c>
    </row>
    <row r="78" spans="1:4" x14ac:dyDescent="0.35">
      <c r="A78" s="4" t="s">
        <v>31</v>
      </c>
      <c r="B78" s="6">
        <v>6</v>
      </c>
      <c r="C78" s="6">
        <v>2</v>
      </c>
      <c r="D78" s="6">
        <v>5</v>
      </c>
    </row>
    <row r="79" spans="1:4" x14ac:dyDescent="0.35">
      <c r="A79" s="4" t="s">
        <v>23</v>
      </c>
      <c r="B79" s="6">
        <v>9</v>
      </c>
      <c r="C79" s="6">
        <v>1</v>
      </c>
      <c r="D79" s="6">
        <v>7</v>
      </c>
    </row>
    <row r="80" spans="1:4" x14ac:dyDescent="0.35">
      <c r="A80" s="4" t="s">
        <v>32</v>
      </c>
      <c r="B80" s="6">
        <v>11</v>
      </c>
      <c r="C80" s="6">
        <v>2</v>
      </c>
      <c r="D80" s="6">
        <v>19</v>
      </c>
    </row>
    <row r="81" spans="1:4" x14ac:dyDescent="0.35">
      <c r="A81" s="4" t="s">
        <v>29</v>
      </c>
      <c r="B81" s="6">
        <v>7</v>
      </c>
      <c r="C81" s="6">
        <v>2</v>
      </c>
      <c r="D81" s="6">
        <v>8</v>
      </c>
    </row>
    <row r="82" spans="1:4" x14ac:dyDescent="0.35">
      <c r="A82" s="4" t="s">
        <v>25</v>
      </c>
      <c r="B82" s="6">
        <v>10</v>
      </c>
      <c r="C82" s="6">
        <v>1</v>
      </c>
      <c r="D82" s="6">
        <v>6</v>
      </c>
    </row>
    <row r="83" spans="1:4" x14ac:dyDescent="0.35">
      <c r="A83" s="4" t="s">
        <v>26</v>
      </c>
      <c r="B83" s="6">
        <v>8</v>
      </c>
      <c r="C83" s="6">
        <v>3</v>
      </c>
      <c r="D83" s="6">
        <v>2</v>
      </c>
    </row>
    <row r="84" spans="1:4" x14ac:dyDescent="0.35">
      <c r="A84" s="4" t="s">
        <v>27</v>
      </c>
      <c r="B84" s="6">
        <v>7</v>
      </c>
      <c r="C84" s="6"/>
      <c r="D84" s="6">
        <v>9</v>
      </c>
    </row>
    <row r="88" spans="1:4" x14ac:dyDescent="0.35">
      <c r="A88" s="3" t="s">
        <v>49</v>
      </c>
      <c r="B88" t="s">
        <v>59</v>
      </c>
    </row>
    <row r="89" spans="1:4" x14ac:dyDescent="0.35">
      <c r="A89" s="4" t="s">
        <v>28</v>
      </c>
      <c r="B89" s="6">
        <v>21</v>
      </c>
    </row>
    <row r="90" spans="1:4" x14ac:dyDescent="0.35">
      <c r="A90" s="4" t="s">
        <v>21</v>
      </c>
      <c r="B90" s="6">
        <v>10</v>
      </c>
    </row>
    <row r="91" spans="1:4" x14ac:dyDescent="0.35">
      <c r="A91" s="4" t="s">
        <v>22</v>
      </c>
      <c r="B91" s="6">
        <v>43</v>
      </c>
    </row>
    <row r="92" spans="1:4" x14ac:dyDescent="0.35">
      <c r="A92" s="4" t="s">
        <v>24</v>
      </c>
      <c r="B92" s="6">
        <v>38</v>
      </c>
    </row>
    <row r="93" spans="1:4" x14ac:dyDescent="0.35">
      <c r="A93" s="4" t="s">
        <v>30</v>
      </c>
      <c r="B93" s="6">
        <v>38</v>
      </c>
    </row>
    <row r="94" spans="1:4" x14ac:dyDescent="0.35">
      <c r="A94" s="4" t="s">
        <v>31</v>
      </c>
      <c r="B94" s="6">
        <v>13</v>
      </c>
    </row>
    <row r="95" spans="1:4" x14ac:dyDescent="0.35">
      <c r="A95" s="4" t="s">
        <v>23</v>
      </c>
      <c r="B95" s="6">
        <v>17</v>
      </c>
    </row>
    <row r="96" spans="1:4" x14ac:dyDescent="0.35">
      <c r="A96" s="4" t="s">
        <v>32</v>
      </c>
      <c r="B96" s="6">
        <v>32</v>
      </c>
    </row>
    <row r="97" spans="1:3" x14ac:dyDescent="0.35">
      <c r="A97" s="4" t="s">
        <v>29</v>
      </c>
      <c r="B97" s="6">
        <v>17</v>
      </c>
    </row>
    <row r="98" spans="1:3" x14ac:dyDescent="0.35">
      <c r="A98" s="4" t="s">
        <v>25</v>
      </c>
      <c r="B98" s="6">
        <v>17</v>
      </c>
    </row>
    <row r="99" spans="1:3" x14ac:dyDescent="0.35">
      <c r="A99" s="4" t="s">
        <v>26</v>
      </c>
      <c r="B99" s="6">
        <v>13</v>
      </c>
    </row>
    <row r="100" spans="1:3" x14ac:dyDescent="0.35">
      <c r="A100" s="4" t="s">
        <v>27</v>
      </c>
      <c r="B100" s="6">
        <v>16</v>
      </c>
    </row>
    <row r="101" spans="1:3" x14ac:dyDescent="0.35">
      <c r="A101" s="4" t="s">
        <v>54</v>
      </c>
      <c r="B101" s="6">
        <v>275</v>
      </c>
    </row>
    <row r="106" spans="1:3" x14ac:dyDescent="0.35">
      <c r="A106" s="7"/>
      <c r="B106" s="5" t="s">
        <v>59</v>
      </c>
      <c r="C106" s="5"/>
    </row>
    <row r="107" spans="1:3" x14ac:dyDescent="0.35">
      <c r="A107" s="8" t="s">
        <v>28</v>
      </c>
      <c r="B107" s="6">
        <v>21</v>
      </c>
      <c r="C107" s="6"/>
    </row>
    <row r="108" spans="1:3" x14ac:dyDescent="0.35">
      <c r="A108" s="8" t="s">
        <v>21</v>
      </c>
      <c r="B108" s="6">
        <v>10</v>
      </c>
      <c r="C108" s="6"/>
    </row>
    <row r="109" spans="1:3" x14ac:dyDescent="0.35">
      <c r="A109" s="8" t="s">
        <v>22</v>
      </c>
      <c r="B109" s="6">
        <v>43</v>
      </c>
      <c r="C109" s="6"/>
    </row>
    <row r="110" spans="1:3" x14ac:dyDescent="0.35">
      <c r="A110" s="8" t="s">
        <v>24</v>
      </c>
      <c r="B110" s="6">
        <v>38</v>
      </c>
      <c r="C110" s="6"/>
    </row>
    <row r="111" spans="1:3" x14ac:dyDescent="0.35">
      <c r="A111" s="8" t="s">
        <v>30</v>
      </c>
      <c r="B111" s="6">
        <v>38</v>
      </c>
      <c r="C111" s="6"/>
    </row>
    <row r="112" spans="1:3" x14ac:dyDescent="0.35">
      <c r="A112" s="8" t="s">
        <v>31</v>
      </c>
      <c r="B112" s="6">
        <v>13</v>
      </c>
      <c r="C112" s="6"/>
    </row>
    <row r="113" spans="1:3" x14ac:dyDescent="0.35">
      <c r="A113" s="8" t="s">
        <v>23</v>
      </c>
      <c r="B113" s="6">
        <v>17</v>
      </c>
      <c r="C113" s="6"/>
    </row>
    <row r="114" spans="1:3" x14ac:dyDescent="0.35">
      <c r="A114" s="8" t="s">
        <v>32</v>
      </c>
      <c r="B114" s="6">
        <v>32</v>
      </c>
      <c r="C114" s="6"/>
    </row>
    <row r="115" spans="1:3" x14ac:dyDescent="0.35">
      <c r="A115" s="8" t="s">
        <v>29</v>
      </c>
      <c r="B115" s="6">
        <v>17</v>
      </c>
      <c r="C115" s="6"/>
    </row>
    <row r="116" spans="1:3" x14ac:dyDescent="0.35">
      <c r="A116" s="8" t="s">
        <v>25</v>
      </c>
      <c r="B116" s="6">
        <v>17</v>
      </c>
      <c r="C116" s="6"/>
    </row>
    <row r="117" spans="1:3" x14ac:dyDescent="0.35">
      <c r="A117" s="8" t="s">
        <v>26</v>
      </c>
      <c r="B117" s="6">
        <v>13</v>
      </c>
      <c r="C117" s="6"/>
    </row>
    <row r="118" spans="1:3" x14ac:dyDescent="0.35">
      <c r="A118" s="8" t="s">
        <v>27</v>
      </c>
      <c r="B118" s="6">
        <v>16</v>
      </c>
      <c r="C118" s="6"/>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636F-5AC3-4507-859D-DE708075DA23}">
  <dimension ref="A1:N6"/>
  <sheetViews>
    <sheetView showGridLines="0" tabSelected="1" topLeftCell="A22" zoomScale="56" zoomScaleNormal="33" workbookViewId="0">
      <selection activeCell="N70" sqref="N70"/>
    </sheetView>
  </sheetViews>
  <sheetFormatPr defaultRowHeight="14.5" x14ac:dyDescent="0.35"/>
  <sheetData>
    <row r="1" spans="1:14" x14ac:dyDescent="0.35">
      <c r="A1" s="9"/>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ht="43" x14ac:dyDescent="1.2">
      <c r="A3" s="9"/>
      <c r="B3" s="11" t="s">
        <v>60</v>
      </c>
      <c r="C3" s="11"/>
      <c r="D3" s="11"/>
      <c r="E3" s="11"/>
      <c r="F3" s="11"/>
      <c r="G3" s="11"/>
      <c r="H3" s="12"/>
      <c r="I3" s="12"/>
      <c r="J3" s="10"/>
      <c r="K3" s="10"/>
      <c r="L3" s="10"/>
      <c r="M3" s="10"/>
      <c r="N3" s="9"/>
    </row>
    <row r="4" spans="1:14" x14ac:dyDescent="0.35">
      <c r="A4" s="9"/>
      <c r="B4" s="9"/>
      <c r="C4" s="9"/>
      <c r="D4" s="9"/>
      <c r="E4" s="9"/>
      <c r="F4" s="9"/>
      <c r="G4" s="9"/>
      <c r="H4" s="9"/>
      <c r="I4" s="9"/>
      <c r="J4" s="9"/>
      <c r="K4" s="9"/>
      <c r="L4" s="9"/>
      <c r="M4" s="9"/>
      <c r="N4" s="9"/>
    </row>
    <row r="5" spans="1:14" x14ac:dyDescent="0.35">
      <c r="A5" s="9"/>
      <c r="B5" s="9"/>
      <c r="C5" s="9"/>
      <c r="D5" s="9"/>
      <c r="E5" s="9"/>
      <c r="F5" s="9"/>
      <c r="G5" s="9"/>
      <c r="H5" s="9"/>
      <c r="I5" s="9"/>
      <c r="J5" s="9"/>
      <c r="K5" s="9"/>
      <c r="L5" s="9"/>
      <c r="M5" s="9"/>
      <c r="N5" s="9"/>
    </row>
    <row r="6" spans="1:14" x14ac:dyDescent="0.35">
      <c r="A6" s="9"/>
      <c r="B6" s="9"/>
      <c r="C6" s="9"/>
      <c r="D6" s="9"/>
      <c r="E6" s="9"/>
      <c r="F6" s="9"/>
      <c r="G6" s="9"/>
      <c r="H6" s="9"/>
      <c r="I6" s="9"/>
      <c r="J6" s="9"/>
      <c r="K6" s="9"/>
      <c r="L6" s="9"/>
      <c r="M6" s="9"/>
      <c r="N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Mobile Banking Adoption</vt: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VITHANAGE P S S</cp:lastModifiedBy>
  <dcterms:created xsi:type="dcterms:W3CDTF">2025-07-16T13:23:44Z</dcterms:created>
  <dcterms:modified xsi:type="dcterms:W3CDTF">2025-11-26T16:36:19Z</dcterms:modified>
</cp:coreProperties>
</file>